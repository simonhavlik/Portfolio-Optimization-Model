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Risk" sheetId="3" state="visible" r:id="rId3"/>
    <sheet xmlns:r="http://schemas.openxmlformats.org/officeDocument/2006/relationships" name="Contributions" sheetId="4" state="visible" r:id="rId4"/>
    <sheet xmlns:r="http://schemas.openxmlformats.org/officeDocument/2006/relationships" name="Correlation" sheetId="5" state="visible" r:id="rId5"/>
    <sheet xmlns:r="http://schemas.openxmlformats.org/officeDocument/2006/relationships" name="Monthly returns" sheetId="6" state="visible" r:id="rId6"/>
    <sheet xmlns:r="http://schemas.openxmlformats.org/officeDocument/2006/relationships" name="Stress" sheetId="7" state="visible" r:id="rId7"/>
    <sheet xmlns:r="http://schemas.openxmlformats.org/officeDocument/2006/relationships" name="Factor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CCA" sheetId="10" state="visible" r:id="rId10"/>
    <sheet xmlns:r="http://schemas.openxmlformats.org/officeDocument/2006/relationships"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114"/>
      <sz val="16"/>
    </font>
    <font>
      <i val="1"/>
      <color rgb="00565B62"/>
      <sz val="9"/>
    </font>
    <font>
      <b val="1"/>
      <color rgb="00A8824A"/>
      <sz val="11"/>
    </font>
    <font>
      <b val="1"/>
      <color rgb="00FFFFFF"/>
      <sz val="10"/>
    </font>
    <font>
      <b val="1"/>
    </font>
  </fonts>
  <fills count="82">
    <fill>
      <patternFill/>
    </fill>
    <fill>
      <patternFill patternType="gray125"/>
    </fill>
    <fill>
      <patternFill patternType="solid">
        <fgColor rgb="000F1114"/>
      </patternFill>
    </fill>
    <fill>
      <patternFill patternType="solid">
        <fgColor rgb="004f7a5c"/>
      </patternFill>
    </fill>
    <fill>
      <patternFill patternType="solid">
        <fgColor rgb="00c1d0c5"/>
      </patternFill>
    </fill>
    <fill>
      <patternFill patternType="solid">
        <fgColor rgb="00c5d3c9"/>
      </patternFill>
    </fill>
    <fill>
      <patternFill patternType="solid">
        <fgColor rgb="00c6d4ca"/>
      </patternFill>
    </fill>
    <fill>
      <patternFill patternType="solid">
        <fgColor rgb="00f0f3f1"/>
      </patternFill>
    </fill>
    <fill>
      <patternFill patternType="solid">
        <fgColor rgb="00c1d0c6"/>
      </patternFill>
    </fill>
    <fill>
      <patternFill patternType="solid">
        <fgColor rgb="00e6ece8"/>
      </patternFill>
    </fill>
    <fill>
      <patternFill patternType="solid">
        <fgColor rgb="00e0e8e2"/>
      </patternFill>
    </fill>
    <fill>
      <patternFill patternType="solid">
        <fgColor rgb="00bfcfc4"/>
      </patternFill>
    </fill>
    <fill>
      <patternFill patternType="solid">
        <fgColor rgb="00cad7ce"/>
      </patternFill>
    </fill>
    <fill>
      <patternFill patternType="solid">
        <fgColor rgb="00ccd8cf"/>
      </patternFill>
    </fill>
    <fill>
      <patternFill patternType="solid">
        <fgColor rgb="00dbe4de"/>
      </patternFill>
    </fill>
    <fill>
      <patternFill patternType="solid">
        <fgColor rgb="00d9e2dc"/>
      </patternFill>
    </fill>
    <fill>
      <patternFill patternType="solid">
        <fgColor rgb="00fdfcfc"/>
      </patternFill>
    </fill>
    <fill>
      <patternFill patternType="solid">
        <fgColor rgb="009ab2a1"/>
      </patternFill>
    </fill>
    <fill>
      <patternFill patternType="solid">
        <fgColor rgb="00cfdbd3"/>
      </patternFill>
    </fill>
    <fill>
      <patternFill patternType="solid">
        <fgColor rgb="00f4e6e5"/>
      </patternFill>
    </fill>
    <fill>
      <patternFill patternType="solid">
        <fgColor rgb="00c6d3ca"/>
      </patternFill>
    </fill>
    <fill>
      <patternFill patternType="solid">
        <fgColor rgb="00a5bbac"/>
      </patternFill>
    </fill>
    <fill>
      <patternFill patternType="solid">
        <fgColor rgb="00b2c4b7"/>
      </patternFill>
    </fill>
    <fill>
      <patternFill patternType="solid">
        <fgColor rgb="00f9f1f0"/>
      </patternFill>
    </fill>
    <fill>
      <patternFill patternType="solid">
        <fgColor rgb="00fefefe"/>
      </patternFill>
    </fill>
    <fill>
      <patternFill patternType="solid">
        <fgColor rgb="00f5f7f6"/>
      </patternFill>
    </fill>
    <fill>
      <patternFill patternType="solid">
        <fgColor rgb="00dde5e0"/>
      </patternFill>
    </fill>
    <fill>
      <patternFill patternType="solid">
        <fgColor rgb="00faf4f3"/>
      </patternFill>
    </fill>
    <fill>
      <patternFill patternType="solid">
        <fgColor rgb="00cbd8cf"/>
      </patternFill>
    </fill>
    <fill>
      <patternFill patternType="solid">
        <fgColor rgb="00f7eeed"/>
      </patternFill>
    </fill>
    <fill>
      <patternFill patternType="solid">
        <fgColor rgb="00eaefec"/>
      </patternFill>
    </fill>
    <fill>
      <patternFill patternType="solid">
        <fgColor rgb="00dce4de"/>
      </patternFill>
    </fill>
    <fill>
      <patternFill patternType="solid">
        <fgColor rgb="00c8d6cc"/>
      </patternFill>
    </fill>
    <fill>
      <patternFill patternType="solid">
        <fgColor rgb="00bdcdc2"/>
      </patternFill>
    </fill>
    <fill>
      <patternFill patternType="solid">
        <fgColor rgb="00f9f3f2"/>
      </patternFill>
    </fill>
    <fill>
      <patternFill patternType="solid">
        <fgColor rgb="00f2f5f3"/>
      </patternFill>
    </fill>
    <fill>
      <patternFill patternType="solid">
        <fgColor rgb="00d8e1db"/>
      </patternFill>
    </fill>
    <fill>
      <patternFill patternType="solid">
        <fgColor rgb="00d7e1da"/>
      </patternFill>
    </fill>
    <fill>
      <patternFill patternType="solid">
        <fgColor rgb="00d1dcd4"/>
      </patternFill>
    </fill>
    <fill>
      <patternFill patternType="solid">
        <fgColor rgb="00edf1ef"/>
      </patternFill>
    </fill>
    <fill>
      <patternFill patternType="solid">
        <fgColor rgb="00f3f6f4"/>
      </patternFill>
    </fill>
    <fill>
      <patternFill patternType="solid">
        <fgColor rgb="00b3c5b8"/>
      </patternFill>
    </fill>
    <fill>
      <patternFill patternType="solid">
        <fgColor rgb="00f1f4f2"/>
      </patternFill>
    </fill>
    <fill>
      <patternFill patternType="solid">
        <fgColor rgb="00b6c8bb"/>
      </patternFill>
    </fill>
    <fill>
      <patternFill patternType="solid">
        <fgColor rgb="00c0cfc4"/>
      </patternFill>
    </fill>
    <fill>
      <patternFill patternType="solid">
        <fgColor rgb="00dfe7e1"/>
      </patternFill>
    </fill>
    <fill>
      <patternFill patternType="solid">
        <fgColor rgb="00f0dddb"/>
      </patternFill>
    </fill>
    <fill>
      <patternFill patternType="solid">
        <fgColor rgb="00ecd4d2"/>
      </patternFill>
    </fill>
    <fill>
      <patternFill patternType="solid">
        <fgColor rgb="00b9cabf"/>
      </patternFill>
    </fill>
    <fill>
      <patternFill patternType="solid">
        <fgColor rgb="00b3c5b9"/>
      </patternFill>
    </fill>
    <fill>
      <patternFill patternType="solid">
        <fgColor rgb="00edf1ee"/>
      </patternFill>
    </fill>
    <fill>
      <patternFill patternType="solid">
        <fgColor rgb="00fefcfc"/>
      </patternFill>
    </fill>
    <fill>
      <patternFill patternType="solid">
        <fgColor rgb="00e2e9e4"/>
      </patternFill>
    </fill>
    <fill>
      <patternFill patternType="solid">
        <fgColor rgb="00abbfb1"/>
      </patternFill>
    </fill>
    <fill>
      <patternFill patternType="solid">
        <fgColor rgb="00d2ddd5"/>
      </patternFill>
    </fill>
    <fill>
      <patternFill patternType="solid">
        <fgColor rgb="00c7d4cb"/>
      </patternFill>
    </fill>
    <fill>
      <patternFill patternType="solid">
        <fgColor rgb="00f9faf9"/>
      </patternFill>
    </fill>
    <fill>
      <patternFill patternType="solid">
        <fgColor rgb="00f0f4f1"/>
      </patternFill>
    </fill>
    <fill>
      <patternFill patternType="solid">
        <fgColor rgb="00a9beaf"/>
      </patternFill>
    </fill>
    <fill>
      <patternFill patternType="solid">
        <fgColor rgb="00d0dbd3"/>
      </patternFill>
    </fill>
    <fill>
      <patternFill patternType="solid">
        <fgColor rgb="00f6eceb"/>
      </patternFill>
    </fill>
    <fill>
      <patternFill patternType="solid">
        <fgColor rgb="00ecd3d0"/>
      </patternFill>
    </fill>
    <fill>
      <patternFill patternType="solid">
        <fgColor rgb="0093ad9b"/>
      </patternFill>
    </fill>
    <fill>
      <patternFill patternType="solid">
        <fgColor rgb="0098b1a0"/>
      </patternFill>
    </fill>
    <fill>
      <patternFill patternType="solid">
        <fgColor rgb="00d5dfd8"/>
      </patternFill>
    </fill>
    <fill>
      <patternFill patternType="solid">
        <fgColor rgb="00f8faf9"/>
      </patternFill>
    </fill>
    <fill>
      <patternFill patternType="solid">
        <fgColor rgb="00e8eeea"/>
      </patternFill>
    </fill>
    <fill>
      <patternFill patternType="solid">
        <fgColor rgb="00f6f8f7"/>
      </patternFill>
    </fill>
    <fill>
      <patternFill patternType="solid">
        <fgColor rgb="00e1e8e3"/>
      </patternFill>
    </fill>
    <fill>
      <patternFill patternType="solid">
        <fgColor rgb="00eef2ef"/>
      </patternFill>
    </fill>
    <fill>
      <patternFill patternType="solid">
        <fgColor rgb="00e4eae6"/>
      </patternFill>
    </fill>
    <fill>
      <patternFill patternType="solid">
        <fgColor rgb="0063896e"/>
      </patternFill>
    </fill>
    <fill>
      <patternFill patternType="solid">
        <fgColor rgb="00b4c6ba"/>
      </patternFill>
    </fill>
    <fill>
      <patternFill patternType="solid">
        <fgColor rgb="00f8f0ef"/>
      </patternFill>
    </fill>
    <fill>
      <patternFill patternType="solid">
        <fgColor rgb="00f9fafa"/>
      </patternFill>
    </fill>
    <fill>
      <patternFill patternType="solid">
        <fgColor rgb="00d0dbd4"/>
      </patternFill>
    </fill>
    <fill>
      <patternFill patternType="solid">
        <fgColor rgb="00efdad8"/>
      </patternFill>
    </fill>
    <fill>
      <patternFill patternType="solid">
        <fgColor rgb="00ecf0ed"/>
      </patternFill>
    </fill>
    <fill>
      <patternFill patternType="solid">
        <fgColor rgb="009cb4a3"/>
      </patternFill>
    </fill>
    <fill>
      <patternFill patternType="solid">
        <fgColor rgb="00fbfcfc"/>
      </patternFill>
    </fill>
    <fill>
      <patternFill patternType="solid">
        <fgColor rgb="00f3f5f3"/>
      </patternFill>
    </fill>
    <fill>
      <patternFill patternType="solid">
        <fgColor rgb="00cedad2"/>
      </patternFill>
    </fill>
  </fills>
  <borders count="2">
    <border>
      <left/>
      <right/>
      <top/>
      <bottom/>
      <diagonal/>
    </border>
    <border>
      <bottom style="thin">
        <color rgb="00D8D2C4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right" vertical="center"/>
    </xf>
    <xf numFmtId="10" fontId="0" fillId="0" borderId="0" pivotButton="0" quotePrefix="0" xfId="0"/>
    <xf numFmtId="2" fontId="0" fillId="0" borderId="0" pivotButton="0" quotePrefix="0" xfId="0"/>
    <xf numFmtId="1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vertical="center"/>
    </xf>
    <xf numFmtId="4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0" fillId="5" borderId="0" pivotButton="0" quotePrefix="0" xfId="0"/>
    <xf numFmtId="2" fontId="0" fillId="6" borderId="0" pivotButton="0" quotePrefix="0" xfId="0"/>
    <xf numFmtId="2" fontId="0" fillId="7" borderId="0" pivotButton="0" quotePrefix="0" xfId="0"/>
    <xf numFmtId="2" fontId="0" fillId="8" borderId="0" pivotButton="0" quotePrefix="0" xfId="0"/>
    <xf numFmtId="2" fontId="0" fillId="9" borderId="0" pivotButton="0" quotePrefix="0" xfId="0"/>
    <xf numFmtId="2" fontId="0" fillId="10" borderId="0" pivotButton="0" quotePrefix="0" xfId="0"/>
    <xf numFmtId="2" fontId="0" fillId="11" borderId="0" pivotButton="0" quotePrefix="0" xfId="0"/>
    <xf numFmtId="2" fontId="0" fillId="12" borderId="0" pivotButton="0" quotePrefix="0" xfId="0"/>
    <xf numFmtId="2" fontId="0" fillId="13" borderId="0" pivotButton="0" quotePrefix="0" xfId="0"/>
    <xf numFmtId="2" fontId="0" fillId="14" borderId="0" pivotButton="0" quotePrefix="0" xfId="0"/>
    <xf numFmtId="2" fontId="0" fillId="15" borderId="0" pivotButton="0" quotePrefix="0" xfId="0"/>
    <xf numFmtId="2" fontId="0" fillId="16" borderId="0" pivotButton="0" quotePrefix="0" xfId="0"/>
    <xf numFmtId="2" fontId="0" fillId="17" borderId="0" pivotButton="0" quotePrefix="0" xfId="0"/>
    <xf numFmtId="2" fontId="0" fillId="18" borderId="0" pivotButton="0" quotePrefix="0" xfId="0"/>
    <xf numFmtId="2" fontId="0" fillId="19" borderId="0" pivotButton="0" quotePrefix="0" xfId="0"/>
    <xf numFmtId="2" fontId="0" fillId="20" borderId="0" pivotButton="0" quotePrefix="0" xfId="0"/>
    <xf numFmtId="2" fontId="0" fillId="21" borderId="0" pivotButton="0" quotePrefix="0" xfId="0"/>
    <xf numFmtId="2" fontId="0" fillId="22" borderId="0" pivotButton="0" quotePrefix="0" xfId="0"/>
    <xf numFmtId="2" fontId="0" fillId="23" borderId="0" pivotButton="0" quotePrefix="0" xfId="0"/>
    <xf numFmtId="2" fontId="0" fillId="24" borderId="0" pivotButton="0" quotePrefix="0" xfId="0"/>
    <xf numFmtId="2" fontId="0" fillId="25" borderId="0" pivotButton="0" quotePrefix="0" xfId="0"/>
    <xf numFmtId="2" fontId="0" fillId="26" borderId="0" pivotButton="0" quotePrefix="0" xfId="0"/>
    <xf numFmtId="2" fontId="0" fillId="27" borderId="0" pivotButton="0" quotePrefix="0" xfId="0"/>
    <xf numFmtId="2" fontId="0" fillId="28" borderId="0" pivotButton="0" quotePrefix="0" xfId="0"/>
    <xf numFmtId="2" fontId="0" fillId="29" borderId="0" pivotButton="0" quotePrefix="0" xfId="0"/>
    <xf numFmtId="2" fontId="0" fillId="30" borderId="0" pivotButton="0" quotePrefix="0" xfId="0"/>
    <xf numFmtId="2" fontId="0" fillId="31" borderId="0" pivotButton="0" quotePrefix="0" xfId="0"/>
    <xf numFmtId="2" fontId="0" fillId="32" borderId="0" pivotButton="0" quotePrefix="0" xfId="0"/>
    <xf numFmtId="2" fontId="0" fillId="33" borderId="0" pivotButton="0" quotePrefix="0" xfId="0"/>
    <xf numFmtId="2" fontId="0" fillId="34" borderId="0" pivotButton="0" quotePrefix="0" xfId="0"/>
    <xf numFmtId="2" fontId="0" fillId="35" borderId="0" pivotButton="0" quotePrefix="0" xfId="0"/>
    <xf numFmtId="2" fontId="0" fillId="36" borderId="0" pivotButton="0" quotePrefix="0" xfId="0"/>
    <xf numFmtId="2" fontId="0" fillId="37" borderId="0" pivotButton="0" quotePrefix="0" xfId="0"/>
    <xf numFmtId="2" fontId="0" fillId="38" borderId="0" pivotButton="0" quotePrefix="0" xfId="0"/>
    <xf numFmtId="2" fontId="0" fillId="39" borderId="0" pivotButton="0" quotePrefix="0" xfId="0"/>
    <xf numFmtId="2" fontId="0" fillId="40" borderId="0" pivotButton="0" quotePrefix="0" xfId="0"/>
    <xf numFmtId="2" fontId="0" fillId="41" borderId="0" pivotButton="0" quotePrefix="0" xfId="0"/>
    <xf numFmtId="2" fontId="0" fillId="42" borderId="0" pivotButton="0" quotePrefix="0" xfId="0"/>
    <xf numFmtId="2" fontId="0" fillId="43" borderId="0" pivotButton="0" quotePrefix="0" xfId="0"/>
    <xf numFmtId="2" fontId="0" fillId="44" borderId="0" pivotButton="0" quotePrefix="0" xfId="0"/>
    <xf numFmtId="2" fontId="0" fillId="45" borderId="0" pivotButton="0" quotePrefix="0" xfId="0"/>
    <xf numFmtId="2" fontId="0" fillId="46" borderId="0" pivotButton="0" quotePrefix="0" xfId="0"/>
    <xf numFmtId="2" fontId="0" fillId="47" borderId="0" pivotButton="0" quotePrefix="0" xfId="0"/>
    <xf numFmtId="2" fontId="0" fillId="48" borderId="0" pivotButton="0" quotePrefix="0" xfId="0"/>
    <xf numFmtId="2" fontId="0" fillId="49" borderId="0" pivotButton="0" quotePrefix="0" xfId="0"/>
    <xf numFmtId="2" fontId="0" fillId="50" borderId="0" pivotButton="0" quotePrefix="0" xfId="0"/>
    <xf numFmtId="2" fontId="0" fillId="51" borderId="0" pivotButton="0" quotePrefix="0" xfId="0"/>
    <xf numFmtId="2" fontId="0" fillId="52" borderId="0" pivotButton="0" quotePrefix="0" xfId="0"/>
    <xf numFmtId="2" fontId="0" fillId="53" borderId="0" pivotButton="0" quotePrefix="0" xfId="0"/>
    <xf numFmtId="2" fontId="0" fillId="54" borderId="0" pivotButton="0" quotePrefix="0" xfId="0"/>
    <xf numFmtId="2" fontId="0" fillId="55" borderId="0" pivotButton="0" quotePrefix="0" xfId="0"/>
    <xf numFmtId="2" fontId="0" fillId="56" borderId="0" pivotButton="0" quotePrefix="0" xfId="0"/>
    <xf numFmtId="2" fontId="0" fillId="57" borderId="0" pivotButton="0" quotePrefix="0" xfId="0"/>
    <xf numFmtId="2" fontId="0" fillId="58" borderId="0" pivotButton="0" quotePrefix="0" xfId="0"/>
    <xf numFmtId="2" fontId="0" fillId="59" borderId="0" pivotButton="0" quotePrefix="0" xfId="0"/>
    <xf numFmtId="2" fontId="0" fillId="60" borderId="0" pivotButton="0" quotePrefix="0" xfId="0"/>
    <xf numFmtId="2" fontId="0" fillId="61" borderId="0" pivotButton="0" quotePrefix="0" xfId="0"/>
    <xf numFmtId="2" fontId="0" fillId="62" borderId="0" pivotButton="0" quotePrefix="0" xfId="0"/>
    <xf numFmtId="2" fontId="0" fillId="63" borderId="0" pivotButton="0" quotePrefix="0" xfId="0"/>
    <xf numFmtId="2" fontId="0" fillId="64" borderId="0" pivotButton="0" quotePrefix="0" xfId="0"/>
    <xf numFmtId="2" fontId="0" fillId="65" borderId="0" pivotButton="0" quotePrefix="0" xfId="0"/>
    <xf numFmtId="2" fontId="0" fillId="66" borderId="0" pivotButton="0" quotePrefix="0" xfId="0"/>
    <xf numFmtId="2" fontId="0" fillId="67" borderId="0" pivotButton="0" quotePrefix="0" xfId="0"/>
    <xf numFmtId="2" fontId="0" fillId="68" borderId="0" pivotButton="0" quotePrefix="0" xfId="0"/>
    <xf numFmtId="2" fontId="0" fillId="69" borderId="0" pivotButton="0" quotePrefix="0" xfId="0"/>
    <xf numFmtId="2" fontId="0" fillId="70" borderId="0" pivotButton="0" quotePrefix="0" xfId="0"/>
    <xf numFmtId="2" fontId="0" fillId="71" borderId="0" pivotButton="0" quotePrefix="0" xfId="0"/>
    <xf numFmtId="2" fontId="0" fillId="72" borderId="0" pivotButton="0" quotePrefix="0" xfId="0"/>
    <xf numFmtId="2" fontId="0" fillId="73" borderId="0" pivotButton="0" quotePrefix="0" xfId="0"/>
    <xf numFmtId="2" fontId="0" fillId="74" borderId="0" pivotButton="0" quotePrefix="0" xfId="0"/>
    <xf numFmtId="2" fontId="0" fillId="75" borderId="0" pivotButton="0" quotePrefix="0" xfId="0"/>
    <xf numFmtId="2" fontId="0" fillId="76" borderId="0" pivotButton="0" quotePrefix="0" xfId="0"/>
    <xf numFmtId="2" fontId="0" fillId="77" borderId="0" pivotButton="0" quotePrefix="0" xfId="0"/>
    <xf numFmtId="2" fontId="0" fillId="78" borderId="0" pivotButton="0" quotePrefix="0" xfId="0"/>
    <xf numFmtId="2" fontId="0" fillId="79" borderId="0" pivotButton="0" quotePrefix="0" xfId="0"/>
    <xf numFmtId="2" fontId="0" fillId="80" borderId="0" pivotButton="0" quotePrefix="0" xfId="0"/>
    <xf numFmtId="2" fontId="0" fillId="81" borderId="0" pivotButton="0" quotePrefix="0" xfId="0"/>
    <xf numFmtId="2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" customWidth="1" min="3" max="3"/>
    <col width="46" customWidth="1" min="4" max="4"/>
    <col width="18" customWidth="1" min="5" max="5"/>
  </cols>
  <sheetData>
    <row r="1">
      <c r="A1" s="1" t="inlineStr">
        <is>
          <t>Portfolio Optimizer</t>
        </is>
      </c>
    </row>
    <row r="2">
      <c r="A2" s="2" t="inlineStr">
        <is>
          <t>Portfolio Optimizer — analysis export</t>
        </is>
      </c>
    </row>
    <row r="3">
      <c r="A3" t="inlineStr">
        <is>
          <t>Example Diversified Portfolio</t>
        </is>
      </c>
    </row>
    <row r="4">
      <c r="A4" s="2" t="inlineStr">
        <is>
          <t>Computed 2026-10-24 · period 2y · 15 assets</t>
        </is>
      </c>
    </row>
    <row r="6">
      <c r="A6" s="3" t="inlineStr">
        <is>
          <t>Key metrics</t>
        </is>
      </c>
      <c r="D6" s="3" t="inlineStr">
        <is>
          <t>Valuation</t>
        </is>
      </c>
    </row>
    <row r="7">
      <c r="A7" s="4" t="inlineStr">
        <is>
          <t>Owner earnings yield</t>
        </is>
      </c>
      <c r="B7" s="5" t="n">
        <v>0.040009002934335</v>
      </c>
      <c r="C7" s="4" t="inlineStr">
        <is>
          <t>0.00%</t>
        </is>
      </c>
      <c r="D7" s="6" t="n"/>
    </row>
    <row r="8">
      <c r="A8" s="4" t="inlineStr">
        <is>
          <t>Implied return (owner yield + growth)</t>
        </is>
      </c>
      <c r="B8" s="5" t="n">
        <v>0.1283128167862007</v>
      </c>
      <c r="C8" s="4" t="inlineStr">
        <is>
          <t>0.00%</t>
        </is>
      </c>
      <c r="D8" s="6" t="n"/>
    </row>
    <row r="9">
      <c r="A9" s="4" t="inlineStr">
        <is>
          <t>Cost of equity (CAPM)</t>
        </is>
      </c>
      <c r="B9" s="5" t="n">
        <v>0.09085799299999998</v>
      </c>
      <c r="C9" s="4" t="inlineStr">
        <is>
          <t>0.00%</t>
        </is>
      </c>
      <c r="D9" s="6" t="n"/>
    </row>
    <row r="10">
      <c r="A10" s="4" t="inlineStr">
        <is>
          <t>Spread</t>
        </is>
      </c>
      <c r="B10" s="5" t="n">
        <v>0.03745482378620076</v>
      </c>
      <c r="C10" s="4" t="inlineStr">
        <is>
          <t>0.00%</t>
        </is>
      </c>
      <c r="D10" s="6" t="n"/>
    </row>
    <row r="11">
      <c r="A11" s="4" t="inlineStr">
        <is>
          <t>Portfolio beta (fundamentals)</t>
        </is>
      </c>
      <c r="B11" s="5" t="n">
        <v>0.9659099999999996</v>
      </c>
      <c r="C11" s="4" t="inlineStr">
        <is>
          <t>0.00</t>
        </is>
      </c>
      <c r="D11" s="7" t="n"/>
    </row>
    <row r="12">
      <c r="A12" s="4" t="inlineStr">
        <is>
          <t>Equity risk premium</t>
        </is>
      </c>
      <c r="B12" s="5" t="n">
        <v>0.0423</v>
      </c>
      <c r="C12" s="4" t="inlineStr">
        <is>
          <t>0.00%</t>
        </is>
      </c>
      <c r="D12" s="6" t="n"/>
    </row>
    <row r="13">
      <c r="A13" s="4" t="inlineStr">
        <is>
          <t>ERP source</t>
        </is>
      </c>
      <c r="B13" s="8" t="inlineStr">
        <is>
          <t>Damodaran implied ERP (FCFE), histimpl.xls</t>
        </is>
      </c>
      <c r="C13" s="4" t="n"/>
    </row>
    <row r="14">
      <c r="A14" s="4" t="inlineStr">
        <is>
          <t>Coverage by weight</t>
        </is>
      </c>
      <c r="B14" s="5" t="n">
        <v>1</v>
      </c>
      <c r="C14" s="4" t="inlineStr">
        <is>
          <t>0.00%</t>
        </is>
      </c>
      <c r="D14" s="6" t="n"/>
    </row>
    <row r="15">
      <c r="A15" s="4" t="inlineStr">
        <is>
          <t>Beta vs S&amp;P 500</t>
        </is>
      </c>
      <c r="B15" s="9" t="n">
        <v>0.798117685268792</v>
      </c>
    </row>
    <row r="16">
      <c r="A16" s="4" t="inlineStr">
        <is>
          <t>Alpha (annualised)</t>
        </is>
      </c>
      <c r="B16" s="5" t="n">
        <v>0.02556503261194545</v>
      </c>
    </row>
    <row r="17">
      <c r="A17" s="4" t="inlineStr">
        <is>
          <t>Skewness</t>
        </is>
      </c>
      <c r="B17" s="9" t="n">
        <v>0.7010532672071914</v>
      </c>
    </row>
    <row r="18">
      <c r="A18" s="4" t="inlineStr">
        <is>
          <t>Excess kurtosis</t>
        </is>
      </c>
      <c r="B18" s="9" t="n">
        <v>13.84973425488724</v>
      </c>
    </row>
    <row r="19">
      <c r="A19" s="4" t="inlineStr">
        <is>
          <t>Effective number of bets</t>
        </is>
      </c>
      <c r="B19" s="9" t="n">
        <v>0.9977940397202066</v>
      </c>
    </row>
    <row r="20">
      <c r="A20" s="4" t="inlineStr">
        <is>
          <t>Concentration (HHI)</t>
        </is>
      </c>
      <c r="B20" s="9" t="n">
        <v>1.00221083729906</v>
      </c>
    </row>
    <row r="24">
      <c r="A24" s="3" t="inlineStr">
        <is>
          <t>Conventions</t>
        </is>
      </c>
    </row>
    <row r="25">
      <c r="A25" s="2" t="inlineStr">
        <is>
          <t>• Returns are arithmetic daily returns annualised by 252 trading days.</t>
        </is>
      </c>
    </row>
    <row r="26">
      <c r="A26" s="2" t="inlineStr">
        <is>
          <t>• VaR and CVaR are reported as positive loss magnitudes at the stated confidence level.</t>
        </is>
      </c>
    </row>
    <row r="27">
      <c r="A27" s="2" t="inlineStr">
        <is>
          <t>• Sharpe uses the configured risk-free rate; Sortino uses downside deviation.</t>
        </is>
      </c>
    </row>
    <row r="28">
      <c r="A28" s="2" t="inlineStr">
        <is>
          <t>• Beta and alpha are estimated against the S&amp;P 500 over the analysis window.</t>
        </is>
      </c>
    </row>
    <row r="29">
      <c r="A29" s="2" t="inlineStr">
        <is>
          <t>• Owner earnings yield uses trailing earnings yield (1/PE), falling back to FCF/market cap.</t>
        </is>
      </c>
    </row>
    <row r="30">
      <c r="A30" s="2" t="inlineStr">
        <is>
          <t>• Cost of equity is CAPM with the Damodaran implied ERP; see the Valuation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Holdings</t>
        </is>
      </c>
    </row>
    <row r="2">
      <c r="A2" s="2" t="inlineStr">
        <is>
          <t>Weights, prices and market values</t>
        </is>
      </c>
    </row>
    <row r="4">
      <c r="A4" s="10" t="inlineStr">
        <is>
          <t>Ticker</t>
        </is>
      </c>
      <c r="B4" s="10" t="inlineStr">
        <is>
          <t>Company</t>
        </is>
      </c>
      <c r="C4" s="10" t="inlineStr">
        <is>
          <t>Sector</t>
        </is>
      </c>
      <c r="D4" s="10" t="inlineStr">
        <is>
          <t>Weight</t>
        </is>
      </c>
      <c r="E4" s="10" t="inlineStr">
        <is>
          <t>Price</t>
        </is>
      </c>
      <c r="F4" s="10" t="inlineStr">
        <is>
          <t>Market value</t>
        </is>
      </c>
    </row>
    <row r="5">
      <c r="A5" t="inlineStr">
        <is>
          <t>AAPL</t>
        </is>
      </c>
      <c r="B5" t="inlineStr">
        <is>
          <t>AAPL</t>
        </is>
      </c>
      <c r="C5" t="inlineStr">
        <is>
          <t>Technology</t>
        </is>
      </c>
      <c r="D5" s="6" t="n">
        <v>0.12</v>
      </c>
      <c r="E5" s="11" t="n">
        <v>347.7300109863281</v>
      </c>
      <c r="F5" s="12">
        <f>D5*100000</f>
        <v/>
      </c>
    </row>
    <row r="6">
      <c r="A6" t="inlineStr">
        <is>
          <t>MSFT</t>
        </is>
      </c>
      <c r="B6" t="inlineStr">
        <is>
          <t>MSFT</t>
        </is>
      </c>
      <c r="C6" t="inlineStr">
        <is>
          <t>Technology</t>
        </is>
      </c>
      <c r="D6" s="6" t="n">
        <v>0.12</v>
      </c>
      <c r="E6" s="11" t="n">
        <v>524.510009765625</v>
      </c>
      <c r="F6" s="12">
        <f>D6*100000</f>
        <v/>
      </c>
    </row>
    <row r="7">
      <c r="A7" t="inlineStr">
        <is>
          <t>GOOGL</t>
        </is>
      </c>
      <c r="B7" t="inlineStr">
        <is>
          <t>GOOGL</t>
        </is>
      </c>
      <c r="C7" t="inlineStr">
        <is>
          <t>Technology</t>
        </is>
      </c>
      <c r="D7" s="6" t="n">
        <v>0.1</v>
      </c>
      <c r="E7" s="11" t="n">
        <v>320.2099914550781</v>
      </c>
      <c r="F7" s="12">
        <f>D7*100000</f>
        <v/>
      </c>
    </row>
    <row r="8">
      <c r="A8" t="inlineStr">
        <is>
          <t>AMZN</t>
        </is>
      </c>
      <c r="B8" t="inlineStr">
        <is>
          <t>AMZN</t>
        </is>
      </c>
      <c r="C8" t="inlineStr">
        <is>
          <t>Consumer Discretionary</t>
        </is>
      </c>
      <c r="D8" s="6" t="n">
        <v>0.08</v>
      </c>
      <c r="E8" s="11" t="n">
        <v>248</v>
      </c>
      <c r="F8" s="12">
        <f>D8*100000</f>
        <v/>
      </c>
    </row>
    <row r="9">
      <c r="A9" t="inlineStr">
        <is>
          <t>NVDA</t>
        </is>
      </c>
      <c r="B9" t="inlineStr">
        <is>
          <t>NVDA</t>
        </is>
      </c>
      <c r="C9" t="inlineStr">
        <is>
          <t>Technology</t>
        </is>
      </c>
      <c r="D9" s="6" t="n">
        <v>0.07000000000000001</v>
      </c>
      <c r="E9" s="11" t="n">
        <v>210.9600067138672</v>
      </c>
      <c r="F9" s="12">
        <f>D9*100000</f>
        <v/>
      </c>
    </row>
    <row r="10">
      <c r="A10" t="inlineStr">
        <is>
          <t>JPM</t>
        </is>
      </c>
      <c r="B10" t="inlineStr">
        <is>
          <t>JPM</t>
        </is>
      </c>
      <c r="C10" t="inlineStr">
        <is>
          <t>Financials</t>
        </is>
      </c>
      <c r="D10" s="6" t="n">
        <v>0.07000000000000001</v>
      </c>
      <c r="E10" s="11" t="n">
        <v>331.5799865722656</v>
      </c>
      <c r="F10" s="12">
        <f>D10*100000</f>
        <v/>
      </c>
    </row>
    <row r="11">
      <c r="A11" t="inlineStr">
        <is>
          <t>JNJ</t>
        </is>
      </c>
      <c r="B11" t="inlineStr">
        <is>
          <t>JNJ</t>
        </is>
      </c>
      <c r="C11" t="inlineStr">
        <is>
          <t>Healthcare</t>
        </is>
      </c>
      <c r="D11" s="6" t="n">
        <v>0.06</v>
      </c>
      <c r="E11" s="11" t="n">
        <v>263.8099975585938</v>
      </c>
      <c r="F11" s="12">
        <f>D11*100000</f>
        <v/>
      </c>
    </row>
    <row r="12">
      <c r="A12" t="inlineStr">
        <is>
          <t>V</t>
        </is>
      </c>
      <c r="B12" t="inlineStr">
        <is>
          <t>V</t>
        </is>
      </c>
      <c r="C12" t="inlineStr">
        <is>
          <t>Financials</t>
        </is>
      </c>
      <c r="D12" s="6" t="n">
        <v>0.06</v>
      </c>
      <c r="E12" s="11" t="n">
        <v>407.9200134277344</v>
      </c>
      <c r="F12" s="12">
        <f>D12*100000</f>
        <v/>
      </c>
    </row>
    <row r="13">
      <c r="A13" t="inlineStr">
        <is>
          <t>PG</t>
        </is>
      </c>
      <c r="B13" t="inlineStr">
        <is>
          <t>PG</t>
        </is>
      </c>
      <c r="C13" t="inlineStr">
        <is>
          <t>Consumer Staples</t>
        </is>
      </c>
      <c r="D13" s="6" t="n">
        <v>0.05</v>
      </c>
      <c r="E13" s="11" t="n">
        <v>161.0200042724609</v>
      </c>
      <c r="F13" s="12">
        <f>D13*100000</f>
        <v/>
      </c>
    </row>
    <row r="14">
      <c r="A14" t="inlineStr">
        <is>
          <t>UNH</t>
        </is>
      </c>
      <c r="B14" t="inlineStr">
        <is>
          <t>UNH</t>
        </is>
      </c>
      <c r="C14" t="inlineStr">
        <is>
          <t>Healthcare</t>
        </is>
      </c>
      <c r="D14" s="6" t="n">
        <v>0.05</v>
      </c>
      <c r="E14" s="11" t="n">
        <v>418.0899963378906</v>
      </c>
      <c r="F14" s="12">
        <f>D14*100000</f>
        <v/>
      </c>
    </row>
    <row r="15">
      <c r="A15" t="inlineStr">
        <is>
          <t>HD</t>
        </is>
      </c>
      <c r="B15" t="inlineStr">
        <is>
          <t>HD</t>
        </is>
      </c>
      <c r="C15" t="inlineStr">
        <is>
          <t>Consumer Discretionary</t>
        </is>
      </c>
      <c r="D15" s="6" t="n">
        <v>0.05</v>
      </c>
      <c r="E15" s="11" t="n">
        <v>319.8299865722656</v>
      </c>
      <c r="F15" s="12">
        <f>D15*100000</f>
        <v/>
      </c>
    </row>
    <row r="16">
      <c r="A16" t="inlineStr">
        <is>
          <t>MA</t>
        </is>
      </c>
      <c r="B16" t="inlineStr">
        <is>
          <t>MA</t>
        </is>
      </c>
      <c r="C16" t="inlineStr">
        <is>
          <t>Financials</t>
        </is>
      </c>
      <c r="D16" s="6" t="n">
        <v>0.05</v>
      </c>
      <c r="E16" s="11" t="n">
        <v>623.5999755859375</v>
      </c>
      <c r="F16" s="12">
        <f>D16*100000</f>
        <v/>
      </c>
    </row>
    <row r="17">
      <c r="A17" t="inlineStr">
        <is>
          <t>LLY</t>
        </is>
      </c>
      <c r="B17" t="inlineStr">
        <is>
          <t>LLY</t>
        </is>
      </c>
      <c r="C17" t="inlineStr">
        <is>
          <t>Healthcare</t>
        </is>
      </c>
      <c r="D17" s="6" t="n">
        <v>0.05</v>
      </c>
      <c r="E17" s="11" t="n">
        <v>1273.4599609375</v>
      </c>
      <c r="F17" s="12">
        <f>D17*100000</f>
        <v/>
      </c>
    </row>
    <row r="18">
      <c r="A18" t="inlineStr">
        <is>
          <t>KO</t>
        </is>
      </c>
      <c r="B18" t="inlineStr">
        <is>
          <t>KO</t>
        </is>
      </c>
      <c r="C18" t="inlineStr">
        <is>
          <t>Consumer Staples</t>
        </is>
      </c>
      <c r="D18" s="6" t="n">
        <v>0.05</v>
      </c>
      <c r="E18" s="11" t="n">
        <v>92.70999908447266</v>
      </c>
      <c r="F18" s="12">
        <f>D18*100000</f>
        <v/>
      </c>
    </row>
    <row r="19">
      <c r="A19" t="inlineStr">
        <is>
          <t>PEP</t>
        </is>
      </c>
      <c r="B19" t="inlineStr">
        <is>
          <t>PEP</t>
        </is>
      </c>
      <c r="C19" t="inlineStr">
        <is>
          <t>Consumer Staples</t>
        </is>
      </c>
      <c r="D19" s="6" t="n">
        <v>0.02</v>
      </c>
      <c r="E19" s="11" t="n">
        <v>135.7700042724609</v>
      </c>
      <c r="F19" s="12">
        <f>D19*100000</f>
        <v/>
      </c>
    </row>
    <row r="20">
      <c r="A20" s="13" t="inlineStr">
        <is>
          <t>Total</t>
        </is>
      </c>
      <c r="D20" s="6">
        <f>SUM(D5:D19)</f>
        <v/>
      </c>
      <c r="F20" s="12">
        <f>SUM(F5:F19)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</cols>
  <sheetData>
    <row r="1">
      <c r="A1" s="1" t="inlineStr">
        <is>
          <t>Risk metrics</t>
        </is>
      </c>
    </row>
    <row r="2">
      <c r="A2" s="2" t="inlineStr">
        <is>
          <t>Portfolio-level risk and tail statistics</t>
        </is>
      </c>
    </row>
    <row r="4">
      <c r="A4" s="10" t="inlineStr">
        <is>
          <t>Metric</t>
        </is>
      </c>
      <c r="B4" s="10" t="inlineStr">
        <is>
          <t>Value</t>
        </is>
      </c>
      <c r="C4" s="10" t="inlineStr">
        <is>
          <t>Definition</t>
        </is>
      </c>
    </row>
    <row r="5">
      <c r="A5" s="4" t="inlineStr">
        <is>
          <t>Annualised return</t>
        </is>
      </c>
      <c r="B5" s="5" t="n">
        <v>0.1536343242957776</v>
      </c>
      <c r="C5" s="4" t="inlineStr">
        <is>
          <t>Geometric annualised return</t>
        </is>
      </c>
    </row>
    <row r="6">
      <c r="A6" s="4" t="inlineStr">
        <is>
          <t>Annualised volatility</t>
        </is>
      </c>
      <c r="B6" s="5" t="n">
        <v>0.1495689799685125</v>
      </c>
      <c r="C6" s="4" t="inlineStr">
        <is>
          <t>Standard deviation of daily returns × √252</t>
        </is>
      </c>
    </row>
    <row r="7">
      <c r="A7" s="4" t="inlineStr">
        <is>
          <t>Downside volatility</t>
        </is>
      </c>
      <c r="B7" s="5" t="n">
        <v>0.1063124702052399</v>
      </c>
      <c r="C7" s="4" t="inlineStr">
        <is>
          <t>Deviation of negative returns × √252</t>
        </is>
      </c>
    </row>
    <row r="8">
      <c r="A8" s="4" t="inlineStr">
        <is>
          <t>Sharpe</t>
        </is>
      </c>
      <c r="B8" s="9" t="n">
        <v>0.6928864816594651</v>
      </c>
      <c r="C8" s="4" t="inlineStr">
        <is>
          <t>(Return − risk-free) / volatility</t>
        </is>
      </c>
    </row>
    <row r="9">
      <c r="A9" s="4" t="inlineStr">
        <is>
          <t>Sortino</t>
        </is>
      </c>
      <c r="B9" s="9" t="n">
        <v>0.9748087321807875</v>
      </c>
      <c r="C9" s="4" t="inlineStr">
        <is>
          <t>(Return − risk-free) / downside deviation</t>
        </is>
      </c>
    </row>
    <row r="10">
      <c r="A10" s="4" t="inlineStr">
        <is>
          <t>Calmar</t>
        </is>
      </c>
      <c r="B10" s="9" t="n">
        <v>0.8789252212405078</v>
      </c>
      <c r="C10" s="4" t="inlineStr">
        <is>
          <t>Annualised return / |maximum drawdown|</t>
        </is>
      </c>
    </row>
    <row r="11">
      <c r="A11" s="4" t="inlineStr">
        <is>
          <t>Information ratio</t>
        </is>
      </c>
      <c r="B11" s="9" t="n">
        <v>0.07241493097413286</v>
      </c>
      <c r="C11" s="4" t="inlineStr">
        <is>
          <t>Excess return / tracking error</t>
        </is>
      </c>
    </row>
    <row r="12">
      <c r="A12" s="4" t="inlineStr">
        <is>
          <t>Maximum drawdown</t>
        </is>
      </c>
      <c r="B12" s="5" t="n">
        <v>-0.1747979470641876</v>
      </c>
      <c r="C12" s="4" t="inlineStr">
        <is>
          <t>Largest peak-to-trough decline</t>
        </is>
      </c>
    </row>
    <row r="13">
      <c r="A13" s="4" t="inlineStr">
        <is>
          <t>Average drawdown</t>
        </is>
      </c>
      <c r="B13" s="5" t="n">
        <v>-0.02789794556243647</v>
      </c>
      <c r="C13" s="4" t="inlineStr">
        <is>
          <t>Mean of all drawdown episodes</t>
        </is>
      </c>
    </row>
    <row r="14">
      <c r="A14" s="4" t="inlineStr">
        <is>
          <t>VaR 95%</t>
        </is>
      </c>
      <c r="B14" s="5" t="n">
        <v>-0.01387138015453423</v>
      </c>
      <c r="C14" s="4" t="inlineStr">
        <is>
          <t>Parametric daily loss at 95%</t>
        </is>
      </c>
    </row>
    <row r="15">
      <c r="A15" s="4" t="inlineStr">
        <is>
          <t>VaR 99%</t>
        </is>
      </c>
      <c r="B15" s="5" t="n">
        <v>-0.0241322312910511</v>
      </c>
      <c r="C15" s="4" t="inlineStr">
        <is>
          <t>Parametric daily loss at 99%</t>
        </is>
      </c>
    </row>
    <row r="16">
      <c r="A16" s="4" t="inlineStr">
        <is>
          <t>CVaR 95%</t>
        </is>
      </c>
      <c r="B16" s="5" t="n">
        <v>-0.02091084728316925</v>
      </c>
      <c r="C16" s="4" t="inlineStr">
        <is>
          <t>Expected shortfall beyond VaR 95%</t>
        </is>
      </c>
    </row>
    <row r="17">
      <c r="A17" s="4" t="inlineStr">
        <is>
          <t>CVaR 99%</t>
        </is>
      </c>
      <c r="B17" s="8" t="n"/>
      <c r="C17" s="4" t="inlineStr">
        <is>
          <t>Expected shortfall beyond VaR 99%</t>
        </is>
      </c>
    </row>
    <row r="18">
      <c r="A18" s="4" t="inlineStr">
        <is>
          <t>mVaR 95</t>
        </is>
      </c>
      <c r="B18" s="5" t="n">
        <v>-0.01085877330591102</v>
      </c>
      <c r="C18" s="4" t="inlineStr">
        <is>
          <t>Marginal contribution to VaR 95%</t>
        </is>
      </c>
    </row>
    <row r="19">
      <c r="A19" s="4" t="inlineStr">
        <is>
          <t>Beta</t>
        </is>
      </c>
      <c r="B19" s="9" t="n">
        <v>0.798117685268792</v>
      </c>
      <c r="C19" s="4" t="inlineStr">
        <is>
          <t>Sensitivity to the S&amp;P 500</t>
        </is>
      </c>
    </row>
    <row r="20">
      <c r="A20" s="4" t="inlineStr">
        <is>
          <t>Alpha</t>
        </is>
      </c>
      <c r="B20" s="5" t="n">
        <v>0.02556503261194545</v>
      </c>
      <c r="C20" s="4" t="inlineStr">
        <is>
          <t>Annualised Jensen alpha</t>
        </is>
      </c>
    </row>
    <row r="21">
      <c r="A21" s="4" t="inlineStr">
        <is>
          <t>Skewness</t>
        </is>
      </c>
      <c r="B21" s="9" t="n">
        <v>0.7010532672071914</v>
      </c>
      <c r="C21" s="4" t="inlineStr">
        <is>
          <t>Third standardised moment</t>
        </is>
      </c>
    </row>
    <row r="22">
      <c r="A22" s="4" t="inlineStr">
        <is>
          <t>Kurtosis</t>
        </is>
      </c>
      <c r="B22" s="9" t="n">
        <v>13.84973425488724</v>
      </c>
      <c r="C22" s="4" t="inlineStr">
        <is>
          <t>Fourth standardised moment (excess)</t>
        </is>
      </c>
    </row>
    <row r="23">
      <c r="A23" s="4" t="inlineStr">
        <is>
          <t>Kelly fraction</t>
        </is>
      </c>
      <c r="B23" s="9" t="n">
        <v>6.887204350304576</v>
      </c>
      <c r="C23" s="4" t="inlineStr">
        <is>
          <t>Full-Kelly optimal leverage</t>
        </is>
      </c>
    </row>
    <row r="24">
      <c r="A24" s="4" t="inlineStr">
        <is>
          <t>Growth rate</t>
        </is>
      </c>
      <c r="B24" s="5" t="n">
        <v>0.530565499681563</v>
      </c>
      <c r="C24" s="4" t="inlineStr">
        <is>
          <t>Expected log growth at current weights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  <col width="14" customWidth="1" min="5" max="5"/>
  </cols>
  <sheetData>
    <row r="1">
      <c r="A1" s="1" t="inlineStr">
        <is>
          <t>Risk contribution</t>
        </is>
      </c>
    </row>
    <row r="2">
      <c r="A2" s="2" t="inlineStr">
        <is>
          <t>Component and marginal contribution to risk</t>
        </is>
      </c>
    </row>
    <row r="4">
      <c r="A4" s="10" t="inlineStr">
        <is>
          <t>Ticker</t>
        </is>
      </c>
      <c r="B4" s="10" t="inlineStr">
        <is>
          <t>Weight</t>
        </is>
      </c>
      <c r="C4" s="10" t="inlineStr">
        <is>
          <t>Risk contribution</t>
        </is>
      </c>
      <c r="D4" s="10" t="inlineStr">
        <is>
          <t>Component risk</t>
        </is>
      </c>
      <c r="E4" s="10" t="inlineStr">
        <is>
          <t>Marginal risk</t>
        </is>
      </c>
    </row>
    <row r="5">
      <c r="A5" t="inlineStr">
        <is>
          <t>AMZN</t>
        </is>
      </c>
      <c r="B5" s="6" t="n">
        <v>0.08</v>
      </c>
      <c r="C5" s="6" t="n">
        <v>0.128246682494136</v>
      </c>
      <c r="D5" s="6" t="n">
        <v>0.01918172548499361</v>
      </c>
      <c r="E5" s="7" t="n">
        <v>0.2397715685624202</v>
      </c>
    </row>
    <row r="6">
      <c r="A6" t="inlineStr">
        <is>
          <t>MSFT</t>
        </is>
      </c>
      <c r="B6" s="6" t="n">
        <v>0.12</v>
      </c>
      <c r="C6" s="6" t="n">
        <v>0.1399641444399778</v>
      </c>
      <c r="D6" s="6" t="n">
        <v>0.02093429431605302</v>
      </c>
      <c r="E6" s="7" t="n">
        <v>0.1744524526337752</v>
      </c>
    </row>
    <row r="7">
      <c r="A7" t="inlineStr">
        <is>
          <t>NVDA</t>
        </is>
      </c>
      <c r="B7" s="6" t="n">
        <v>0.07000000000000001</v>
      </c>
      <c r="C7" s="6" t="n">
        <v>0.1102023539448391</v>
      </c>
      <c r="D7" s="6" t="n">
        <v>0.01648285366965855</v>
      </c>
      <c r="E7" s="7" t="n">
        <v>0.2354693381379793</v>
      </c>
    </row>
    <row r="8">
      <c r="A8" t="inlineStr">
        <is>
          <t>AAPL</t>
        </is>
      </c>
      <c r="B8" s="6" t="n">
        <v>0.12</v>
      </c>
      <c r="C8" s="6" t="n">
        <v>0.1542076943493108</v>
      </c>
      <c r="D8" s="6" t="n">
        <v>0.02306468754712255</v>
      </c>
      <c r="E8" s="7" t="n">
        <v>0.1922057295593546</v>
      </c>
    </row>
    <row r="9">
      <c r="A9" t="inlineStr">
        <is>
          <t>GOOGL</t>
        </is>
      </c>
      <c r="B9" s="6" t="n">
        <v>0.1</v>
      </c>
      <c r="C9" s="6" t="n">
        <v>0.1358935962765799</v>
      </c>
      <c r="D9" s="6" t="n">
        <v>0.0203254665793409</v>
      </c>
      <c r="E9" s="7" t="n">
        <v>0.203254665793409</v>
      </c>
    </row>
    <row r="10">
      <c r="A10" t="inlineStr">
        <is>
          <t>JPM</t>
        </is>
      </c>
      <c r="B10" s="6" t="n">
        <v>0.07000000000000001</v>
      </c>
      <c r="C10" s="6" t="n">
        <v>0.06828871606456466</v>
      </c>
      <c r="D10" s="6" t="n">
        <v>0.01021387360513631</v>
      </c>
      <c r="E10" s="7" t="n">
        <v>0.1459124800733758</v>
      </c>
    </row>
    <row r="11">
      <c r="A11" t="inlineStr">
        <is>
          <t>V</t>
        </is>
      </c>
      <c r="B11" s="6" t="n">
        <v>0.06</v>
      </c>
      <c r="C11" s="6" t="n">
        <v>0.05397923628364656</v>
      </c>
      <c r="D11" s="6" t="n">
        <v>0.008073619310424334</v>
      </c>
      <c r="E11" s="7" t="n">
        <v>0.1345603218404056</v>
      </c>
    </row>
    <row r="12">
      <c r="A12" t="inlineStr">
        <is>
          <t>JNJ</t>
        </is>
      </c>
      <c r="B12" s="6" t="n">
        <v>0.06</v>
      </c>
      <c r="C12" s="6" t="n">
        <v>0.01200276476123868</v>
      </c>
      <c r="D12" s="6" t="n">
        <v>0.001795241282140476</v>
      </c>
      <c r="E12" s="7" t="n">
        <v>0.0299206880356746</v>
      </c>
    </row>
    <row r="13">
      <c r="A13" t="inlineStr">
        <is>
          <t>UNH</t>
        </is>
      </c>
      <c r="B13" s="6" t="n">
        <v>0.05</v>
      </c>
      <c r="C13" s="6" t="n">
        <v>0.03538381000435976</v>
      </c>
      <c r="D13" s="6" t="n">
        <v>0.005292320369751736</v>
      </c>
      <c r="E13" s="7" t="n">
        <v>0.1058464073950347</v>
      </c>
    </row>
    <row r="14">
      <c r="A14" t="inlineStr">
        <is>
          <t>HD</t>
        </is>
      </c>
      <c r="B14" s="6" t="n">
        <v>0.05</v>
      </c>
      <c r="C14" s="6" t="n">
        <v>0.04000780492573006</v>
      </c>
      <c r="D14" s="6" t="n">
        <v>0.005983926573520672</v>
      </c>
      <c r="E14" s="7" t="n">
        <v>0.1196785314704134</v>
      </c>
    </row>
    <row r="15">
      <c r="A15" t="inlineStr">
        <is>
          <t>MA</t>
        </is>
      </c>
      <c r="B15" s="6" t="n">
        <v>0.05</v>
      </c>
      <c r="C15" s="6" t="n">
        <v>0.04615073932685594</v>
      </c>
      <c r="D15" s="6" t="n">
        <v>0.006902719005910556</v>
      </c>
      <c r="E15" s="7" t="n">
        <v>0.1380543801182111</v>
      </c>
    </row>
    <row r="16">
      <c r="A16" t="inlineStr">
        <is>
          <t>PG</t>
        </is>
      </c>
      <c r="B16" s="6" t="n">
        <v>0.05</v>
      </c>
      <c r="C16" s="6" t="n">
        <v>0.01776205587435021</v>
      </c>
      <c r="D16" s="6" t="n">
        <v>0.002656652579270286</v>
      </c>
      <c r="E16" s="7" t="n">
        <v>0.05313305158540572</v>
      </c>
    </row>
    <row r="17">
      <c r="A17" t="inlineStr">
        <is>
          <t>LLY</t>
        </is>
      </c>
      <c r="B17" s="6" t="n">
        <v>0.05</v>
      </c>
      <c r="C17" s="6" t="n">
        <v>0.04438506543684548</v>
      </c>
      <c r="D17" s="6" t="n">
        <v>0.006638628963224657</v>
      </c>
      <c r="E17" s="7" t="n">
        <v>0.1327725792644931</v>
      </c>
    </row>
    <row r="18">
      <c r="A18" t="inlineStr">
        <is>
          <t>KO</t>
        </is>
      </c>
      <c r="B18" s="6" t="n">
        <v>0.05</v>
      </c>
      <c r="C18" s="6" t="n">
        <v>0.008636380243270849</v>
      </c>
      <c r="D18" s="6" t="n">
        <v>0.001291734583606234</v>
      </c>
      <c r="E18" s="7" t="n">
        <v>0.02583469167212468</v>
      </c>
    </row>
    <row r="19">
      <c r="A19" t="inlineStr">
        <is>
          <t>PEP</t>
        </is>
      </c>
      <c r="B19" s="6" t="n">
        <v>0.02</v>
      </c>
      <c r="C19" s="6" t="n">
        <v>0.004888955574294247</v>
      </c>
      <c r="D19" s="6" t="n">
        <v>0.0007312360983585636</v>
      </c>
      <c r="E19" s="7" t="n">
        <v>0.03656180491792818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Correlation matrix</t>
        </is>
      </c>
    </row>
    <row r="2">
      <c r="A2" s="2" t="inlineStr">
        <is>
          <t>Daily return correlations over the analysis window</t>
        </is>
      </c>
    </row>
    <row r="4">
      <c r="A4" s="10" t="inlineStr">
        <is>
          <t>Ticker</t>
        </is>
      </c>
      <c r="B4" s="10" t="inlineStr">
        <is>
          <t>AAPL</t>
        </is>
      </c>
      <c r="C4" s="10" t="inlineStr">
        <is>
          <t>AMZN</t>
        </is>
      </c>
      <c r="D4" s="10" t="inlineStr">
        <is>
          <t>GOOGL</t>
        </is>
      </c>
      <c r="E4" s="10" t="inlineStr">
        <is>
          <t>HD</t>
        </is>
      </c>
      <c r="F4" s="10" t="inlineStr">
        <is>
          <t>JNJ</t>
        </is>
      </c>
      <c r="G4" s="10" t="inlineStr">
        <is>
          <t>JPM</t>
        </is>
      </c>
      <c r="H4" s="10" t="inlineStr">
        <is>
          <t>KO</t>
        </is>
      </c>
      <c r="I4" s="10" t="inlineStr">
        <is>
          <t>LLY</t>
        </is>
      </c>
      <c r="J4" s="10" t="inlineStr">
        <is>
          <t>MA</t>
        </is>
      </c>
      <c r="K4" s="10" t="inlineStr">
        <is>
          <t>MSFT</t>
        </is>
      </c>
      <c r="L4" s="10" t="inlineStr">
        <is>
          <t>NVDA</t>
        </is>
      </c>
      <c r="M4" s="10" t="inlineStr">
        <is>
          <t>PEP</t>
        </is>
      </c>
      <c r="N4" s="10" t="inlineStr">
        <is>
          <t>PG</t>
        </is>
      </c>
      <c r="O4" s="10" t="inlineStr">
        <is>
          <t>UNH</t>
        </is>
      </c>
      <c r="P4" s="10" t="inlineStr">
        <is>
          <t>V</t>
        </is>
      </c>
    </row>
    <row r="5">
      <c r="A5" s="13" t="inlineStr">
        <is>
          <t>AAPL</t>
        </is>
      </c>
      <c r="B5" s="14" t="n">
        <v>1</v>
      </c>
      <c r="C5" s="15" t="n">
        <v>0.3515956354334702</v>
      </c>
      <c r="D5" s="16" t="n">
        <v>0.3295150926531867</v>
      </c>
      <c r="E5" s="17" t="n">
        <v>0.3231456739562606</v>
      </c>
      <c r="F5" s="18" t="n">
        <v>0.08423887497073441</v>
      </c>
      <c r="G5" s="19" t="n">
        <v>0.346678423237104</v>
      </c>
      <c r="H5" s="20" t="n">
        <v>0.1364527211396634</v>
      </c>
      <c r="I5" s="21" t="n">
        <v>0.1720120811101501</v>
      </c>
      <c r="J5" s="22" t="n">
        <v>0.3600875452790172</v>
      </c>
      <c r="K5" s="23" t="n">
        <v>0.3003003672685721</v>
      </c>
      <c r="L5" s="24" t="n">
        <v>0.2894154949045785</v>
      </c>
      <c r="M5" s="25" t="n">
        <v>0.2008486290648637</v>
      </c>
      <c r="N5" s="26" t="n">
        <v>0.2117587647068274</v>
      </c>
      <c r="O5" s="27" t="n">
        <v>-0.01427441930268159</v>
      </c>
      <c r="P5" s="22" t="n">
        <v>0.3584214103632234</v>
      </c>
    </row>
    <row r="6">
      <c r="A6" s="13" t="inlineStr">
        <is>
          <t>AMZN</t>
        </is>
      </c>
      <c r="B6" s="15" t="n">
        <v>0.3515956354334702</v>
      </c>
      <c r="C6" s="14" t="n">
        <v>1</v>
      </c>
      <c r="D6" s="28" t="n">
        <v>0.5737776754643391</v>
      </c>
      <c r="E6" s="29" t="n">
        <v>0.2671842580359581</v>
      </c>
      <c r="F6" s="30" t="n">
        <v>-0.1421281718478736</v>
      </c>
      <c r="G6" s="22" t="n">
        <v>0.3586624482380122</v>
      </c>
      <c r="H6" s="30" t="n">
        <v>-0.1410021843745802</v>
      </c>
      <c r="I6" s="18" t="n">
        <v>0.0849525235820682</v>
      </c>
      <c r="J6" s="31" t="n">
        <v>0.3238167758451195</v>
      </c>
      <c r="K6" s="32" t="n">
        <v>0.5089162843709043</v>
      </c>
      <c r="L6" s="33" t="n">
        <v>0.436876077375239</v>
      </c>
      <c r="M6" s="34" t="n">
        <v>-0.07993539020221699</v>
      </c>
      <c r="N6" s="35" t="n">
        <v>-0.00105233844989356</v>
      </c>
      <c r="O6" s="36" t="n">
        <v>0.05487282382257615</v>
      </c>
      <c r="P6" s="23" t="n">
        <v>0.2982555221189467</v>
      </c>
    </row>
    <row r="7">
      <c r="A7" s="13" t="inlineStr">
        <is>
          <t>GOOGL</t>
        </is>
      </c>
      <c r="B7" s="16" t="n">
        <v>0.3295150926531867</v>
      </c>
      <c r="C7" s="28" t="n">
        <v>0.5737776754643391</v>
      </c>
      <c r="D7" s="14" t="n">
        <v>1</v>
      </c>
      <c r="E7" s="37" t="n">
        <v>0.1900632743369939</v>
      </c>
      <c r="F7" s="38" t="n">
        <v>-0.06150035927511579</v>
      </c>
      <c r="G7" s="39" t="n">
        <v>0.2904895385568914</v>
      </c>
      <c r="H7" s="40" t="n">
        <v>-0.09715641435871206</v>
      </c>
      <c r="I7" s="41" t="n">
        <v>0.114779500427942</v>
      </c>
      <c r="J7" s="42" t="n">
        <v>0.1968968103553178</v>
      </c>
      <c r="K7" s="43" t="n">
        <v>0.3082603323375305</v>
      </c>
      <c r="L7" s="44" t="n">
        <v>0.3716641066018666</v>
      </c>
      <c r="M7" s="45" t="n">
        <v>-0.06968936878369765</v>
      </c>
      <c r="N7" s="35" t="n">
        <v>6.097271349812413e-05</v>
      </c>
      <c r="O7" s="46" t="n">
        <v>0.06885688267437926</v>
      </c>
      <c r="P7" s="47" t="n">
        <v>0.2180647908748371</v>
      </c>
    </row>
    <row r="8">
      <c r="A8" s="13" t="inlineStr">
        <is>
          <t>HD</t>
        </is>
      </c>
      <c r="B8" s="17" t="n">
        <v>0.3231456739562606</v>
      </c>
      <c r="C8" s="29" t="n">
        <v>0.2671842580359581</v>
      </c>
      <c r="D8" s="37" t="n">
        <v>0.1900632743369939</v>
      </c>
      <c r="E8" s="14" t="n">
        <v>1</v>
      </c>
      <c r="F8" s="48" t="n">
        <v>0.2222349654696498</v>
      </c>
      <c r="G8" s="29" t="n">
        <v>0.2695388720154988</v>
      </c>
      <c r="H8" s="39" t="n">
        <v>0.2930224701325282</v>
      </c>
      <c r="I8" s="49" t="n">
        <v>0.2594099248389807</v>
      </c>
      <c r="J8" s="19" t="n">
        <v>0.3485754921238208</v>
      </c>
      <c r="K8" s="50" t="n">
        <v>0.09792171395561027</v>
      </c>
      <c r="L8" s="51" t="n">
        <v>0.06267739377077514</v>
      </c>
      <c r="M8" s="19" t="n">
        <v>0.3488503450232048</v>
      </c>
      <c r="N8" s="52" t="n">
        <v>0.4301102599745961</v>
      </c>
      <c r="O8" s="53" t="n">
        <v>0.07908720770021589</v>
      </c>
      <c r="P8" s="16" t="n">
        <v>0.3268421517219409</v>
      </c>
    </row>
    <row r="9">
      <c r="A9" s="13" t="inlineStr">
        <is>
          <t>JNJ</t>
        </is>
      </c>
      <c r="B9" s="18" t="n">
        <v>0.08423887497073441</v>
      </c>
      <c r="C9" s="30" t="n">
        <v>-0.1421281718478736</v>
      </c>
      <c r="D9" s="38" t="n">
        <v>-0.06150035927511579</v>
      </c>
      <c r="E9" s="48" t="n">
        <v>0.2222349654696498</v>
      </c>
      <c r="F9" s="14" t="n">
        <v>1</v>
      </c>
      <c r="G9" s="18" t="n">
        <v>0.08278381123225539</v>
      </c>
      <c r="H9" s="54" t="n">
        <v>0.4117393550422822</v>
      </c>
      <c r="I9" s="55" t="n">
        <v>0.3576568963360567</v>
      </c>
      <c r="J9" s="56" t="n">
        <v>0.1800585863819096</v>
      </c>
      <c r="K9" s="57" t="n">
        <v>-0.1968027307665511</v>
      </c>
      <c r="L9" s="58" t="n">
        <v>-0.2463473237606094</v>
      </c>
      <c r="M9" s="59" t="n">
        <v>0.392178741989972</v>
      </c>
      <c r="N9" s="60" t="n">
        <v>0.4287773470384871</v>
      </c>
      <c r="O9" s="61" t="n">
        <v>0.1021405784340357</v>
      </c>
      <c r="P9" s="42" t="n">
        <v>0.198733419602953</v>
      </c>
    </row>
    <row r="10">
      <c r="A10" s="13" t="inlineStr">
        <is>
          <t>JPM</t>
        </is>
      </c>
      <c r="B10" s="19" t="n">
        <v>0.346678423237104</v>
      </c>
      <c r="C10" s="22" t="n">
        <v>0.3586624482380122</v>
      </c>
      <c r="D10" s="39" t="n">
        <v>0.2904895385568914</v>
      </c>
      <c r="E10" s="29" t="n">
        <v>0.2695388720154988</v>
      </c>
      <c r="F10" s="18" t="n">
        <v>0.08278381123225539</v>
      </c>
      <c r="G10" s="14" t="n">
        <v>1</v>
      </c>
      <c r="H10" s="62" t="n">
        <v>-0.01206278918471062</v>
      </c>
      <c r="I10" s="63" t="n">
        <v>0.1636085278084857</v>
      </c>
      <c r="J10" s="64" t="n">
        <v>0.4756904733954528</v>
      </c>
      <c r="K10" s="65" t="n">
        <v>0.2516643410719414</v>
      </c>
      <c r="L10" s="66" t="n">
        <v>0.3170328167908598</v>
      </c>
      <c r="M10" s="67" t="n">
        <v>0.03172885981301237</v>
      </c>
      <c r="N10" s="68" t="n">
        <v>0.0799770136921626</v>
      </c>
      <c r="O10" s="61" t="n">
        <v>0.09921379149157568</v>
      </c>
      <c r="P10" s="69" t="n">
        <v>0.484987720868473</v>
      </c>
    </row>
    <row r="11">
      <c r="A11" s="13" t="inlineStr">
        <is>
          <t>KO</t>
        </is>
      </c>
      <c r="B11" s="20" t="n">
        <v>0.1364527211396634</v>
      </c>
      <c r="C11" s="30" t="n">
        <v>-0.1410021843745802</v>
      </c>
      <c r="D11" s="40" t="n">
        <v>-0.09715641435871206</v>
      </c>
      <c r="E11" s="39" t="n">
        <v>0.2930224701325282</v>
      </c>
      <c r="F11" s="54" t="n">
        <v>0.4117393550422822</v>
      </c>
      <c r="G11" s="62" t="n">
        <v>-0.01206278918471062</v>
      </c>
      <c r="H11" s="14" t="n">
        <v>1</v>
      </c>
      <c r="I11" s="63" t="n">
        <v>0.1598808005049397</v>
      </c>
      <c r="J11" s="70" t="n">
        <v>0.2661269708600836</v>
      </c>
      <c r="K11" s="71" t="n">
        <v>-0.1101751497513952</v>
      </c>
      <c r="L11" s="72" t="n">
        <v>-0.2541853091242135</v>
      </c>
      <c r="M11" s="73" t="n">
        <v>0.6100262052999833</v>
      </c>
      <c r="N11" s="74" t="n">
        <v>0.5828179573072286</v>
      </c>
      <c r="O11" s="35" t="n">
        <v>0.003542747130950641</v>
      </c>
      <c r="P11" s="75" t="n">
        <v>0.2360322278523176</v>
      </c>
    </row>
    <row r="12">
      <c r="A12" s="13" t="inlineStr">
        <is>
          <t>LLY</t>
        </is>
      </c>
      <c r="B12" s="21" t="n">
        <v>0.1720120811101501</v>
      </c>
      <c r="C12" s="18" t="n">
        <v>0.0849525235820682</v>
      </c>
      <c r="D12" s="41" t="n">
        <v>0.114779500427942</v>
      </c>
      <c r="E12" s="49" t="n">
        <v>0.2594099248389807</v>
      </c>
      <c r="F12" s="55" t="n">
        <v>0.3576568963360567</v>
      </c>
      <c r="G12" s="63" t="n">
        <v>0.1636085278084857</v>
      </c>
      <c r="H12" s="63" t="n">
        <v>0.1598808005049397</v>
      </c>
      <c r="I12" s="14" t="n">
        <v>1</v>
      </c>
      <c r="J12" s="63" t="n">
        <v>0.1625046425603619</v>
      </c>
      <c r="K12" s="35" t="n">
        <v>0.00147914294763123</v>
      </c>
      <c r="L12" s="76" t="n">
        <v>0.03603154624897526</v>
      </c>
      <c r="M12" s="77" t="n">
        <v>0.1268680172617177</v>
      </c>
      <c r="N12" s="48" t="n">
        <v>0.2240207533657742</v>
      </c>
      <c r="O12" s="78" t="n">
        <v>0.04606334933600707</v>
      </c>
      <c r="P12" s="79" t="n">
        <v>0.1669798305760219</v>
      </c>
    </row>
    <row r="13">
      <c r="A13" s="13" t="inlineStr">
        <is>
          <t>MA</t>
        </is>
      </c>
      <c r="B13" s="22" t="n">
        <v>0.3600875452790172</v>
      </c>
      <c r="C13" s="31" t="n">
        <v>0.3238167758451195</v>
      </c>
      <c r="D13" s="42" t="n">
        <v>0.1968968103553178</v>
      </c>
      <c r="E13" s="19" t="n">
        <v>0.3485754921238208</v>
      </c>
      <c r="F13" s="56" t="n">
        <v>0.1800585863819096</v>
      </c>
      <c r="G13" s="64" t="n">
        <v>0.4756904733954528</v>
      </c>
      <c r="H13" s="70" t="n">
        <v>0.2661269708600836</v>
      </c>
      <c r="I13" s="63" t="n">
        <v>0.1625046425603619</v>
      </c>
      <c r="J13" s="14" t="n">
        <v>1</v>
      </c>
      <c r="K13" s="17" t="n">
        <v>0.3207478763601101</v>
      </c>
      <c r="L13" s="80" t="n">
        <v>0.09362838348165202</v>
      </c>
      <c r="M13" s="79" t="n">
        <v>0.1671223750938575</v>
      </c>
      <c r="N13" s="43" t="n">
        <v>0.3074471727227862</v>
      </c>
      <c r="O13" s="81" t="n">
        <v>0.1517231301919952</v>
      </c>
      <c r="P13" s="82" t="n">
        <v>0.8845908418549961</v>
      </c>
    </row>
    <row r="14">
      <c r="A14" s="13" t="inlineStr">
        <is>
          <t>MSFT</t>
        </is>
      </c>
      <c r="B14" s="23" t="n">
        <v>0.3003003672685721</v>
      </c>
      <c r="C14" s="32" t="n">
        <v>0.5089162843709043</v>
      </c>
      <c r="D14" s="43" t="n">
        <v>0.3082603323375305</v>
      </c>
      <c r="E14" s="50" t="n">
        <v>0.09792171395561027</v>
      </c>
      <c r="F14" s="57" t="n">
        <v>-0.1968027307665511</v>
      </c>
      <c r="G14" s="65" t="n">
        <v>0.2516643410719414</v>
      </c>
      <c r="H14" s="71" t="n">
        <v>-0.1101751497513952</v>
      </c>
      <c r="I14" s="35" t="n">
        <v>0.00147914294763123</v>
      </c>
      <c r="J14" s="17" t="n">
        <v>0.3207478763601101</v>
      </c>
      <c r="K14" s="14" t="n">
        <v>1</v>
      </c>
      <c r="L14" s="83" t="n">
        <v>0.4224505892345587</v>
      </c>
      <c r="M14" s="84" t="n">
        <v>-0.08309551834596232</v>
      </c>
      <c r="N14" s="84" t="n">
        <v>-0.08417741955663836</v>
      </c>
      <c r="O14" s="85" t="n">
        <v>0.03054419711987673</v>
      </c>
      <c r="P14" s="86" t="n">
        <v>0.2633120796852574</v>
      </c>
    </row>
    <row r="15">
      <c r="A15" s="13" t="inlineStr">
        <is>
          <t>NVDA</t>
        </is>
      </c>
      <c r="B15" s="24" t="n">
        <v>0.2894154949045785</v>
      </c>
      <c r="C15" s="33" t="n">
        <v>0.436876077375239</v>
      </c>
      <c r="D15" s="44" t="n">
        <v>0.3716641066018666</v>
      </c>
      <c r="E15" s="51" t="n">
        <v>0.06267739377077514</v>
      </c>
      <c r="F15" s="58" t="n">
        <v>-0.2463473237606094</v>
      </c>
      <c r="G15" s="66" t="n">
        <v>0.3170328167908598</v>
      </c>
      <c r="H15" s="72" t="n">
        <v>-0.2541853091242135</v>
      </c>
      <c r="I15" s="76" t="n">
        <v>0.03603154624897526</v>
      </c>
      <c r="J15" s="80" t="n">
        <v>0.09362838348165202</v>
      </c>
      <c r="K15" s="83" t="n">
        <v>0.4224505892345587</v>
      </c>
      <c r="L15" s="14" t="n">
        <v>1</v>
      </c>
      <c r="M15" s="87" t="n">
        <v>-0.2152676106509376</v>
      </c>
      <c r="N15" s="87" t="n">
        <v>-0.2145321615324173</v>
      </c>
      <c r="O15" s="35" t="n">
        <v>0.005539731300321334</v>
      </c>
      <c r="P15" s="88" t="n">
        <v>0.1057122800925463</v>
      </c>
    </row>
    <row r="16">
      <c r="A16" s="13" t="inlineStr">
        <is>
          <t>PEP</t>
        </is>
      </c>
      <c r="B16" s="25" t="n">
        <v>0.2008486290648637</v>
      </c>
      <c r="C16" s="34" t="n">
        <v>-0.07993539020221699</v>
      </c>
      <c r="D16" s="45" t="n">
        <v>-0.06968936878369765</v>
      </c>
      <c r="E16" s="19" t="n">
        <v>0.3488503450232048</v>
      </c>
      <c r="F16" s="59" t="n">
        <v>0.392178741989972</v>
      </c>
      <c r="G16" s="67" t="n">
        <v>0.03172885981301237</v>
      </c>
      <c r="H16" s="73" t="n">
        <v>0.6100262052999833</v>
      </c>
      <c r="I16" s="77" t="n">
        <v>0.1268680172617177</v>
      </c>
      <c r="J16" s="79" t="n">
        <v>0.1671223750938575</v>
      </c>
      <c r="K16" s="84" t="n">
        <v>-0.08309551834596232</v>
      </c>
      <c r="L16" s="87" t="n">
        <v>-0.2152676106509376</v>
      </c>
      <c r="M16" s="14" t="n">
        <v>1</v>
      </c>
      <c r="N16" s="89" t="n">
        <v>0.5610588022998573</v>
      </c>
      <c r="O16" s="90" t="n">
        <v>0.01733628054194919</v>
      </c>
      <c r="P16" s="79" t="n">
        <v>0.1675393738036464</v>
      </c>
    </row>
    <row r="17">
      <c r="A17" s="13" t="inlineStr">
        <is>
          <t>PG</t>
        </is>
      </c>
      <c r="B17" s="26" t="n">
        <v>0.2117587647068274</v>
      </c>
      <c r="C17" s="35" t="n">
        <v>-0.00105233844989356</v>
      </c>
      <c r="D17" s="35" t="n">
        <v>6.097271349812413e-05</v>
      </c>
      <c r="E17" s="52" t="n">
        <v>0.4301102599745961</v>
      </c>
      <c r="F17" s="60" t="n">
        <v>0.4287773470384871</v>
      </c>
      <c r="G17" s="68" t="n">
        <v>0.0799770136921626</v>
      </c>
      <c r="H17" s="74" t="n">
        <v>0.5828179573072286</v>
      </c>
      <c r="I17" s="48" t="n">
        <v>0.2240207533657742</v>
      </c>
      <c r="J17" s="43" t="n">
        <v>0.3074471727227862</v>
      </c>
      <c r="K17" s="84" t="n">
        <v>-0.08417741955663836</v>
      </c>
      <c r="L17" s="87" t="n">
        <v>-0.2145321615324173</v>
      </c>
      <c r="M17" s="89" t="n">
        <v>0.5610588022998573</v>
      </c>
      <c r="N17" s="14" t="n">
        <v>1</v>
      </c>
      <c r="O17" s="91" t="n">
        <v>0.06817733905066643</v>
      </c>
      <c r="P17" s="92" t="n">
        <v>0.2757361393788981</v>
      </c>
    </row>
    <row r="18">
      <c r="A18" s="13" t="inlineStr">
        <is>
          <t>UNH</t>
        </is>
      </c>
      <c r="B18" s="27" t="n">
        <v>-0.01427441930268159</v>
      </c>
      <c r="C18" s="36" t="n">
        <v>0.05487282382257615</v>
      </c>
      <c r="D18" s="46" t="n">
        <v>0.06885688267437926</v>
      </c>
      <c r="E18" s="53" t="n">
        <v>0.07908720770021589</v>
      </c>
      <c r="F18" s="61" t="n">
        <v>0.1021405784340357</v>
      </c>
      <c r="G18" s="61" t="n">
        <v>0.09921379149157568</v>
      </c>
      <c r="H18" s="35" t="n">
        <v>0.003542747130950641</v>
      </c>
      <c r="I18" s="78" t="n">
        <v>0.04606334933600707</v>
      </c>
      <c r="J18" s="81" t="n">
        <v>0.1517231301919952</v>
      </c>
      <c r="K18" s="85" t="n">
        <v>0.03054419711987673</v>
      </c>
      <c r="L18" s="35" t="n">
        <v>0.005539731300321334</v>
      </c>
      <c r="M18" s="90" t="n">
        <v>0.01733628054194919</v>
      </c>
      <c r="N18" s="91" t="n">
        <v>0.06817733905066643</v>
      </c>
      <c r="O18" s="14" t="n">
        <v>1</v>
      </c>
      <c r="P18" s="56" t="n">
        <v>0.18029331902091</v>
      </c>
    </row>
    <row r="19">
      <c r="A19" s="13" t="inlineStr">
        <is>
          <t>V</t>
        </is>
      </c>
      <c r="B19" s="22" t="n">
        <v>0.3584214103632234</v>
      </c>
      <c r="C19" s="23" t="n">
        <v>0.2982555221189467</v>
      </c>
      <c r="D19" s="47" t="n">
        <v>0.2180647908748371</v>
      </c>
      <c r="E19" s="16" t="n">
        <v>0.3268421517219409</v>
      </c>
      <c r="F19" s="42" t="n">
        <v>0.198733419602953</v>
      </c>
      <c r="G19" s="69" t="n">
        <v>0.484987720868473</v>
      </c>
      <c r="H19" s="75" t="n">
        <v>0.2360322278523176</v>
      </c>
      <c r="I19" s="79" t="n">
        <v>0.1669798305760219</v>
      </c>
      <c r="J19" s="82" t="n">
        <v>0.8845908418549961</v>
      </c>
      <c r="K19" s="86" t="n">
        <v>0.2633120796852574</v>
      </c>
      <c r="L19" s="88" t="n">
        <v>0.1057122800925463</v>
      </c>
      <c r="M19" s="79" t="n">
        <v>0.1675393738036464</v>
      </c>
      <c r="N19" s="92" t="n">
        <v>0.2757361393788981</v>
      </c>
      <c r="O19" s="56" t="n">
        <v>0.18029331902091</v>
      </c>
      <c r="P19" s="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Monthly returns</t>
        </is>
      </c>
    </row>
    <row r="2">
      <c r="A2" s="2" t="inlineStr">
        <is>
          <t>Calendar-month returns and annual totals</t>
        </is>
      </c>
    </row>
    <row r="4">
      <c r="A4" s="10" t="inlineStr">
        <is>
          <t>Year</t>
        </is>
      </c>
      <c r="B4" s="10" t="inlineStr">
        <is>
          <t>Jan</t>
        </is>
      </c>
      <c r="C4" s="10" t="inlineStr">
        <is>
          <t>Feb</t>
        </is>
      </c>
      <c r="D4" s="10" t="inlineStr">
        <is>
          <t>Mar</t>
        </is>
      </c>
      <c r="E4" s="10" t="inlineStr">
        <is>
          <t>Apr</t>
        </is>
      </c>
      <c r="F4" s="10" t="inlineStr">
        <is>
          <t>May</t>
        </is>
      </c>
      <c r="G4" s="10" t="inlineStr">
        <is>
          <t>Jun</t>
        </is>
      </c>
      <c r="H4" s="10" t="inlineStr">
        <is>
          <t>Jul</t>
        </is>
      </c>
      <c r="I4" s="10" t="inlineStr">
        <is>
          <t>Aug</t>
        </is>
      </c>
      <c r="J4" s="10" t="inlineStr">
        <is>
          <t>Sep</t>
        </is>
      </c>
      <c r="K4" s="10" t="inlineStr">
        <is>
          <t>Oct</t>
        </is>
      </c>
      <c r="L4" s="10" t="inlineStr">
        <is>
          <t>Nov</t>
        </is>
      </c>
      <c r="M4" s="10" t="inlineStr">
        <is>
          <t>Dec</t>
        </is>
      </c>
      <c r="N4" s="10" t="inlineStr">
        <is>
          <t>Year total</t>
        </is>
      </c>
    </row>
    <row r="5">
      <c r="A5" s="13" t="n">
        <v>2024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-0.01663869215122087</v>
      </c>
      <c r="L5" s="6" t="n">
        <v>0.04640091464191985</v>
      </c>
      <c r="M5" s="6" t="n">
        <v>-0.009442771776893863</v>
      </c>
      <c r="N5" s="6">
        <f>PRODUCT(1+B5:M5)-1</f>
        <v/>
      </c>
    </row>
    <row r="6">
      <c r="A6" s="13" t="n">
        <v>2025</v>
      </c>
      <c r="B6" s="6" t="n">
        <v>0.02500130519464618</v>
      </c>
      <c r="C6" s="6" t="n">
        <v>-0.009928478249325561</v>
      </c>
      <c r="D6" s="6" t="n">
        <v>-0.05930353724530799</v>
      </c>
      <c r="E6" s="6" t="n">
        <v>-0.01478891864279906</v>
      </c>
      <c r="F6" s="6" t="n">
        <v>0.03254671445813185</v>
      </c>
      <c r="G6" s="6" t="n">
        <v>0.03409905558061002</v>
      </c>
      <c r="H6" s="6" t="n">
        <v>0.01967347698001623</v>
      </c>
      <c r="I6" s="6" t="n">
        <v>0.0443541494153484</v>
      </c>
      <c r="J6" s="6" t="n">
        <v>0.03459876859073396</v>
      </c>
      <c r="K6" s="6" t="n">
        <v>0.03920462173242667</v>
      </c>
      <c r="L6" s="6" t="n">
        <v>0.01179874213322835</v>
      </c>
      <c r="M6" s="6" t="n">
        <v>-0.003024364198336515</v>
      </c>
      <c r="N6" s="6">
        <f>PRODUCT(1+B6:M6)-1</f>
        <v/>
      </c>
    </row>
    <row r="7">
      <c r="A7" s="13" t="n">
        <v>2026</v>
      </c>
      <c r="B7" s="6" t="n">
        <v>-0.009582998132509832</v>
      </c>
      <c r="C7" s="6" t="n">
        <v>-0.01625804619905067</v>
      </c>
      <c r="D7" s="6" t="n">
        <v>-0.05870122932579638</v>
      </c>
      <c r="E7" s="6" t="n">
        <v>0.1041504426531921</v>
      </c>
      <c r="F7" s="6" t="n">
        <v>0.03305485411691614</v>
      </c>
      <c r="G7" s="6" t="n">
        <v>-0.01701434212715625</v>
      </c>
      <c r="H7" s="6" t="n">
        <v>0.05858539738956027</v>
      </c>
      <c r="I7" s="6" t="n">
        <v>0.01673874564394053</v>
      </c>
      <c r="J7" s="6" t="n">
        <v>-0.01642534610202246</v>
      </c>
      <c r="K7" s="6" t="n">
        <v>0.03660157622285697</v>
      </c>
      <c r="L7" s="6" t="n"/>
      <c r="M7" s="6" t="n"/>
      <c r="N7" s="6">
        <f>PRODUCT(1+B7:M7)-1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Stress scenarios</t>
        </is>
      </c>
    </row>
    <row r="2">
      <c r="A2" s="2" t="inlineStr">
        <is>
          <t>Historical and hypothetical shocks</t>
        </is>
      </c>
    </row>
    <row r="4">
      <c r="A4" s="10" t="inlineStr">
        <is>
          <t>Scenario</t>
        </is>
      </c>
      <c r="B4" s="10" t="inlineStr">
        <is>
          <t>Impact</t>
        </is>
      </c>
    </row>
    <row r="5">
      <c r="A5" t="inlineStr">
        <is>
          <t>Tech Selloff</t>
        </is>
      </c>
      <c r="B5" s="6" t="n">
        <v>-0.2694</v>
      </c>
    </row>
    <row r="6">
      <c r="A6" t="inlineStr">
        <is>
          <t>Dot-com Crash</t>
        </is>
      </c>
      <c r="B6" s="6" t="n">
        <v>-0.528024</v>
      </c>
    </row>
    <row r="7">
      <c r="A7" t="inlineStr">
        <is>
          <t>Geopolitical Crisis</t>
        </is>
      </c>
      <c r="B7" s="6" t="n">
        <v>-0.21552</v>
      </c>
    </row>
    <row r="8">
      <c r="A8" t="inlineStr">
        <is>
          <t>Rate Shock (+200bps)</t>
        </is>
      </c>
      <c r="B8" s="6" t="n">
        <v>-0.16164</v>
      </c>
    </row>
    <row r="9">
      <c r="A9" t="inlineStr">
        <is>
          <t>2008 Financial Crisis</t>
        </is>
      </c>
      <c r="B9" s="6" t="n">
        <v>-0.4094880000000001</v>
      </c>
    </row>
    <row r="10">
      <c r="A10" t="inlineStr">
        <is>
          <t>COVID-19 Crash (Mar 2020)</t>
        </is>
      </c>
      <c r="B10" s="6" t="n">
        <v>-0.366384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</cols>
  <sheetData>
    <row r="1">
      <c r="A1" s="1" t="inlineStr">
        <is>
          <t>Factor exposure</t>
        </is>
      </c>
    </row>
    <row r="2">
      <c r="A2" s="2" t="inlineStr">
        <is>
          <t>Fama–French five-factor plus momentum</t>
        </is>
      </c>
    </row>
    <row r="4">
      <c r="A4" s="10" t="inlineStr">
        <is>
          <t>Factor</t>
        </is>
      </c>
      <c r="B4" s="10" t="inlineStr">
        <is>
          <t>Beta</t>
        </is>
      </c>
      <c r="C4" s="10" t="inlineStr">
        <is>
          <t>t-stat</t>
        </is>
      </c>
    </row>
    <row r="5">
      <c r="A5" s="4" t="inlineStr">
        <is>
          <t>Market</t>
        </is>
      </c>
      <c r="B5" s="9" t="n">
        <v>-0.1319795491880471</v>
      </c>
      <c r="C5" s="93" t="n"/>
    </row>
    <row r="6">
      <c r="A6" s="4" t="inlineStr">
        <is>
          <t>Size (SMB)</t>
        </is>
      </c>
      <c r="B6" s="9" t="n">
        <v>0.1815571343914106</v>
      </c>
      <c r="C6" s="93" t="n"/>
    </row>
    <row r="7">
      <c r="A7" s="4" t="inlineStr">
        <is>
          <t>Value (HML)</t>
        </is>
      </c>
      <c r="B7" s="9" t="n">
        <v>0.2911716641936606</v>
      </c>
      <c r="C7" s="93" t="n"/>
    </row>
    <row r="8">
      <c r="A8" s="4" t="inlineStr">
        <is>
          <t>Momentum</t>
        </is>
      </c>
      <c r="B8" s="9" t="n">
        <v>0</v>
      </c>
      <c r="C8" s="93" t="n"/>
    </row>
    <row r="9">
      <c r="A9" s="4" t="inlineStr">
        <is>
          <t>Profitability (RMW)</t>
        </is>
      </c>
      <c r="B9" s="9" t="n">
        <v>0.4798316731076743</v>
      </c>
      <c r="C9" s="93" t="n"/>
    </row>
    <row r="10">
      <c r="A10" s="4" t="inlineStr">
        <is>
          <t>Investment (CMA)</t>
        </is>
      </c>
      <c r="B10" s="9" t="n">
        <v>0.5507387523992707</v>
      </c>
      <c r="C10" s="93" t="n"/>
    </row>
    <row r="11">
      <c r="A11" s="4" t="inlineStr">
        <is>
          <t>Alpha</t>
        </is>
      </c>
      <c r="B11" s="9" t="n">
        <v>0.008149327682569237</v>
      </c>
      <c r="C11" s="9" t="n">
        <v>0.02862787164534386</v>
      </c>
    </row>
    <row r="12">
      <c r="A12" s="4" t="inlineStr">
        <is>
          <t>R²</t>
        </is>
      </c>
      <c r="B12" s="9" t="n">
        <v>0.1890714011501468</v>
      </c>
      <c r="C12" s="93" t="n"/>
    </row>
    <row r="13">
      <c r="A13" s="4" t="inlineStr">
        <is>
          <t>Adjusted R²</t>
        </is>
      </c>
      <c r="B13" s="9" t="n">
        <v>0.08770532629391514</v>
      </c>
      <c r="C13" s="9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Valuation</t>
        </is>
      </c>
    </row>
    <row r="2">
      <c r="A2" s="2" t="inlineStr">
        <is>
          <t>Owner-earnings implied return versus CAPM cost of equity</t>
        </is>
      </c>
    </row>
    <row r="4">
      <c r="A4" s="2" t="inlineStr">
        <is>
          <t>ERP 4.23% · Damodaran implied ERP (FCFE), histimpl.xls</t>
        </is>
      </c>
    </row>
    <row r="6">
      <c r="A6" s="10" t="inlineStr">
        <is>
          <t>Input</t>
        </is>
      </c>
      <c r="B6" s="10" t="inlineStr">
        <is>
          <t>Value</t>
        </is>
      </c>
      <c r="D6" s="3" t="inlineStr">
        <is>
          <t>Sensitivity: implied return − cost of equity</t>
        </is>
      </c>
    </row>
    <row r="7">
      <c r="A7" s="4" t="inlineStr">
        <is>
          <t>Owner earnings yield</t>
        </is>
      </c>
      <c r="B7" s="5" t="n">
        <v>0.040009002934335</v>
      </c>
      <c r="C7" s="4" t="inlineStr">
        <is>
          <t>0.00%</t>
        </is>
      </c>
      <c r="D7" t="inlineStr">
        <is>
          <t>Growth \ ERP</t>
        </is>
      </c>
      <c r="E7" s="6" t="n">
        <v>0.03</v>
      </c>
      <c r="F7" s="6" t="n">
        <v>0.04</v>
      </c>
      <c r="G7" s="6" t="n">
        <v>0.05</v>
      </c>
    </row>
    <row r="8">
      <c r="A8" s="4" t="inlineStr">
        <is>
          <t>Growth assumption</t>
        </is>
      </c>
      <c r="B8" s="5" t="n">
        <v>0.025</v>
      </c>
      <c r="C8" s="4" t="inlineStr">
        <is>
          <t>0.00%</t>
        </is>
      </c>
      <c r="D8" s="6" t="n">
        <v>0</v>
      </c>
      <c r="E8" s="6" t="n">
        <v>-0.04118989006566498</v>
      </c>
      <c r="F8" s="6" t="n">
        <v>-0.05084899006566498</v>
      </c>
      <c r="G8" s="6" t="n">
        <v>-0.06050809006566497</v>
      </c>
    </row>
    <row r="9">
      <c r="A9" s="4" t="inlineStr">
        <is>
          <t>Implied return</t>
        </is>
      </c>
      <c r="B9" s="5" t="n">
        <v>0.1283128167862007</v>
      </c>
      <c r="C9" s="4" t="inlineStr">
        <is>
          <t>0.00%</t>
        </is>
      </c>
      <c r="D9" s="6" t="n">
        <v>0.01</v>
      </c>
      <c r="E9" s="6" t="n">
        <v>-0.03118989006566498</v>
      </c>
      <c r="F9" s="6" t="n">
        <v>-0.04084899006566498</v>
      </c>
      <c r="G9" s="6" t="n">
        <v>-0.05050809006566497</v>
      </c>
    </row>
    <row r="10">
      <c r="A10" s="4" t="inlineStr">
        <is>
          <t>Risk-free rate</t>
        </is>
      </c>
      <c r="B10" s="5" t="n">
        <v>0.05</v>
      </c>
      <c r="C10" s="4" t="inlineStr">
        <is>
          <t>0.00%</t>
        </is>
      </c>
      <c r="D10" s="6" t="n">
        <v>0.02</v>
      </c>
      <c r="E10" s="6" t="n">
        <v>-0.02118989006566498</v>
      </c>
      <c r="F10" s="6" t="n">
        <v>-0.03084899006566498</v>
      </c>
      <c r="G10" s="6" t="n">
        <v>-0.04050809006566497</v>
      </c>
    </row>
    <row r="11">
      <c r="A11" s="4" t="inlineStr">
        <is>
          <t>Beta</t>
        </is>
      </c>
      <c r="B11" s="9" t="n">
        <v>0.9659099999999996</v>
      </c>
      <c r="C11" s="4" t="inlineStr">
        <is>
          <t>0.00</t>
        </is>
      </c>
      <c r="D11" s="6" t="n">
        <v>0.03</v>
      </c>
      <c r="E11" s="6" t="n">
        <v>-0.01118989006566498</v>
      </c>
      <c r="F11" s="6" t="n">
        <v>-0.02084899006566499</v>
      </c>
      <c r="G11" s="6" t="n">
        <v>-0.03050809006566498</v>
      </c>
    </row>
    <row r="12">
      <c r="A12" s="4" t="inlineStr">
        <is>
          <t>Cost of equity</t>
        </is>
      </c>
      <c r="B12" s="5" t="n">
        <v>0.09085799299999998</v>
      </c>
      <c r="C12" s="4" t="inlineStr">
        <is>
          <t>0.00%</t>
        </is>
      </c>
      <c r="D12" s="6" t="n">
        <v>0.04</v>
      </c>
      <c r="E12" s="6" t="n">
        <v>-0.001189890065664986</v>
      </c>
      <c r="F12" s="6" t="n">
        <v>-0.01084899006566499</v>
      </c>
      <c r="G12" s="6" t="n">
        <v>-0.02050809006566498</v>
      </c>
    </row>
    <row r="13">
      <c r="A13" s="4" t="inlineStr">
        <is>
          <t>Spread</t>
        </is>
      </c>
      <c r="B13" s="5" t="n">
        <v>0.03745482378620076</v>
      </c>
      <c r="C13" s="4" t="inlineStr">
        <is>
          <t>0.00%</t>
        </is>
      </c>
    </row>
    <row r="14">
      <c r="A14" s="4" t="inlineStr">
        <is>
          <t>Coverage</t>
        </is>
      </c>
      <c r="B14" s="5" t="n">
        <v>1</v>
      </c>
      <c r="C14" s="4" t="inlineStr">
        <is>
          <t>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16" customWidth="1" min="5" max="5"/>
    <col width="16" customWidth="1" min="6" max="6"/>
    <col width="12" customWidth="1" min="7" max="7"/>
  </cols>
  <sheetData>
    <row r="1">
      <c r="A1" s="1" t="inlineStr">
        <is>
          <t>Comparable company analysis</t>
        </is>
      </c>
    </row>
    <row r="2">
      <c r="A2" s="2" t="inlineStr">
        <is>
          <t>Peer median P/E and implied value</t>
        </is>
      </c>
    </row>
    <row r="4">
      <c r="A4" s="10" t="inlineStr">
        <is>
          <t>Ticker</t>
        </is>
      </c>
      <c r="B4" s="10" t="inlineStr">
        <is>
          <t>Weight</t>
        </is>
      </c>
      <c r="C4" s="10" t="inlineStr">
        <is>
          <t>P/E</t>
        </is>
      </c>
      <c r="D4" s="10" t="inlineStr">
        <is>
          <t>Peers</t>
        </is>
      </c>
      <c r="E4" s="10" t="inlineStr">
        <is>
          <t>Peer median P/E</t>
        </is>
      </c>
      <c r="F4" s="10" t="inlineStr">
        <is>
          <t>Implied price</t>
        </is>
      </c>
      <c r="G4" s="10" t="inlineStr">
        <is>
          <t>Upside</t>
        </is>
      </c>
    </row>
    <row r="5">
      <c r="A5" t="inlineStr">
        <is>
          <t>AAPL</t>
        </is>
      </c>
      <c r="B5" s="6" t="n">
        <v>0.12</v>
      </c>
      <c r="C5" s="7" t="n">
        <v>39.87672</v>
      </c>
      <c r="D5" t="inlineStr">
        <is>
          <t>MSFT, GOOGL, AMZN, META</t>
        </is>
      </c>
      <c r="E5" s="7" t="n">
        <v>20.9383345</v>
      </c>
      <c r="F5" s="11" t="n"/>
      <c r="G5" s="6" t="n"/>
    </row>
    <row r="6">
      <c r="A6" t="inlineStr">
        <is>
          <t>MSFT</t>
        </is>
      </c>
      <c r="B6" s="6" t="n">
        <v>0.12</v>
      </c>
      <c r="C6" s="7" t="n">
        <v>29.220612</v>
      </c>
      <c r="D6" t="inlineStr">
        <is>
          <t>AAPL, GOOGL, AMZN, ORCL</t>
        </is>
      </c>
      <c r="E6" s="7" t="n">
        <v>19.8630125</v>
      </c>
      <c r="F6" s="11" t="n"/>
      <c r="G6" s="6" t="n"/>
    </row>
    <row r="7">
      <c r="A7" t="inlineStr">
        <is>
          <t>GOOGL</t>
        </is>
      </c>
      <c r="B7" s="6" t="n">
        <v>0.1</v>
      </c>
      <c r="C7" s="7" t="n">
        <v>16.066732</v>
      </c>
      <c r="D7" t="inlineStr">
        <is>
          <t>META, NFLX, DIS, CMCSA</t>
        </is>
      </c>
      <c r="E7" s="7" t="n">
        <v>20.478366</v>
      </c>
      <c r="F7" s="11" t="n"/>
      <c r="G7" s="6" t="n"/>
    </row>
    <row r="8">
      <c r="A8" t="inlineStr">
        <is>
          <t>AMZN</t>
        </is>
      </c>
      <c r="B8" s="6" t="n">
        <v>0.08</v>
      </c>
      <c r="C8" s="7" t="n">
        <v>19.951729</v>
      </c>
      <c r="D8" t="inlineStr">
        <is>
          <t>BABA, EBAY, WMT, SHOP</t>
        </is>
      </c>
      <c r="E8" s="7" t="n">
        <v>33.8873955</v>
      </c>
      <c r="F8" s="11" t="n"/>
      <c r="G8" s="6" t="n"/>
    </row>
    <row r="9">
      <c r="A9" t="inlineStr">
        <is>
          <t>NVDA</t>
        </is>
      </c>
      <c r="B9" s="6" t="n">
        <v>0.07000000000000001</v>
      </c>
      <c r="C9" s="7" t="n">
        <v>26.67004</v>
      </c>
      <c r="D9" t="inlineStr">
        <is>
          <t>AMD, AVGO, INTC, QCOM</t>
        </is>
      </c>
      <c r="E9" s="7" t="n">
        <v>30.7214815</v>
      </c>
      <c r="F9" s="11" t="n"/>
      <c r="G9" s="6" t="n"/>
    </row>
    <row r="11">
      <c r="A11" s="2" t="inlineStr">
        <is>
          <t>Peers proposed by the model, validated against Yahoo Finance multiples; implied price uses the peer median P/E and the company's trailing EPS.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Methodology and sources</t>
        </is>
      </c>
    </row>
    <row r="2">
      <c r="A2" s="2" t="inlineStr">
        <is>
          <t>How each block is computed</t>
        </is>
      </c>
    </row>
    <row r="4">
      <c r="A4" s="10" t="inlineStr">
        <is>
          <t>Item</t>
        </is>
      </c>
      <c r="B4" s="10" t="inlineStr">
        <is>
          <t>Detail</t>
        </is>
      </c>
    </row>
    <row r="5">
      <c r="A5" s="4" t="inlineStr">
        <is>
          <t>Data</t>
        </is>
      </c>
      <c r="B5" s="4" t="inlineStr">
        <is>
          <t>Daily adjusted closes from Yahoo Finance; 2-year window; 252 trading days.</t>
        </is>
      </c>
    </row>
    <row r="6">
      <c r="A6" s="4" t="inlineStr">
        <is>
          <t>Optimisation</t>
        </is>
      </c>
      <c r="B6" s="4" t="inlineStr">
        <is>
          <t>Max Sharpe, min variance, mean-variance, risk parity; Ledoit–Wolf shrinkage; Black–Litterman; HRP.</t>
        </is>
      </c>
    </row>
    <row r="7">
      <c r="A7" s="4" t="inlineStr">
        <is>
          <t>Risk</t>
        </is>
      </c>
      <c r="B7" s="4" t="inlineStr">
        <is>
          <t>Parametric and historical VaR/CVaR; drawdown analysis; marginal and component VaR.</t>
        </is>
      </c>
    </row>
    <row r="8">
      <c r="A8" s="4" t="inlineStr">
        <is>
          <t>Distribution</t>
        </is>
      </c>
      <c r="B8" s="4" t="inlineStr">
        <is>
          <t>Jarque–Bera, Shapiro–Wilk, Anderson–Darling; Normal, Laplace, Student-t by AIC.</t>
        </is>
      </c>
    </row>
    <row r="9">
      <c r="A9" s="4" t="inlineStr">
        <is>
          <t>Factors</t>
        </is>
      </c>
      <c r="B9" s="4" t="inlineStr">
        <is>
          <t>Fama–French 3/5 plus momentum, estimated by OLS with HAC-robust inference.</t>
        </is>
      </c>
    </row>
    <row r="10">
      <c r="A10" s="4" t="inlineStr">
        <is>
          <t>Valuation</t>
        </is>
      </c>
      <c r="B10" s="4" t="inlineStr">
        <is>
          <t>Owner earnings yield (1/PE, else FCF/market cap) plus growth versus CAPM.</t>
        </is>
      </c>
    </row>
    <row r="11">
      <c r="A11" s="4" t="inlineStr">
        <is>
          <t>ERP</t>
        </is>
      </c>
      <c r="B11" s="4" t="inlineStr">
        <is>
          <t>Damodaran implied ERP (FCFE), histimpl.xls, cached for 30 days.</t>
        </is>
      </c>
    </row>
    <row r="12">
      <c r="A12" s="4" t="inlineStr">
        <is>
          <t>Limitations</t>
        </is>
      </c>
      <c r="B12" s="4" t="inlineStr">
        <is>
          <t>Educational project; no audit; no investment advice; historical data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2026-10-24T12:49:46Z</dcterms:created>
  <dcterms:modified xmlns:dcterms="http://purl.org/dc/terms/" xmlns:xsi="http://www.w3.org/2001/XMLSchema-instance" xsi:type="dcterms:W3CDTF">2026-10-24T12:49:46Z</dcterms:modified>
</cp:coreProperties>
</file>